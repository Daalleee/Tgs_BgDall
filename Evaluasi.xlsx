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lleno\Dokumen\TUGAS SEMESTER 6\PI\"/>
    </mc:Choice>
  </mc:AlternateContent>
  <xr:revisionPtr revIDLastSave="0" documentId="13_ncr:1_{E1819133-6585-4365-892D-166479B6D56A}" xr6:coauthVersionLast="47" xr6:coauthVersionMax="47" xr10:uidLastSave="{00000000-0000-0000-0000-000000000000}"/>
  <bookViews>
    <workbookView xWindow="-120" yWindow="-120" windowWidth="20730" windowHeight="11760" xr2:uid="{CA4CB5D9-83B6-4431-8DCF-EFE2F8434D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51" i="1" l="1"/>
  <c r="R149" i="1"/>
  <c r="T149" i="1"/>
  <c r="S149" i="1"/>
  <c r="T148" i="1"/>
  <c r="S148" i="1"/>
  <c r="R148" i="1"/>
  <c r="Q148" i="1"/>
  <c r="Q149" i="1"/>
  <c r="P149" i="1"/>
  <c r="P148" i="1"/>
  <c r="O148" i="1"/>
  <c r="O149" i="1"/>
  <c r="N149" i="1"/>
  <c r="N148" i="1"/>
  <c r="M148" i="1"/>
  <c r="M149" i="1"/>
  <c r="X146" i="1" s="1"/>
  <c r="L149" i="1"/>
  <c r="L148" i="1"/>
  <c r="K148" i="1"/>
  <c r="K149" i="1"/>
  <c r="J149" i="1"/>
  <c r="J148" i="1"/>
  <c r="I148" i="1"/>
  <c r="I149" i="1"/>
  <c r="H148" i="1"/>
  <c r="H149" i="1"/>
  <c r="G148" i="1"/>
  <c r="G149" i="1"/>
  <c r="F148" i="1"/>
  <c r="F149" i="1"/>
  <c r="X108" i="1"/>
  <c r="T109" i="1"/>
  <c r="S109" i="1"/>
  <c r="R109" i="1"/>
  <c r="S108" i="1"/>
  <c r="T108" i="1"/>
  <c r="R108" i="1"/>
  <c r="Q108" i="1"/>
  <c r="Q109" i="1"/>
  <c r="P109" i="1"/>
  <c r="P108" i="1"/>
  <c r="O108" i="1"/>
  <c r="O109" i="1"/>
  <c r="W108" i="1" s="1"/>
  <c r="N109" i="1"/>
  <c r="N108" i="1"/>
  <c r="M108" i="1"/>
  <c r="M109" i="1"/>
  <c r="L108" i="1"/>
  <c r="L109" i="1"/>
  <c r="K108" i="1"/>
  <c r="K109" i="1"/>
  <c r="J108" i="1"/>
  <c r="J109" i="1"/>
  <c r="I108" i="1"/>
  <c r="I109" i="1"/>
  <c r="H108" i="1"/>
  <c r="H109" i="1"/>
  <c r="G108" i="1"/>
  <c r="G109" i="1"/>
  <c r="F108" i="1"/>
  <c r="F109" i="1"/>
  <c r="X21" i="1"/>
  <c r="T17" i="1"/>
  <c r="S17" i="1"/>
  <c r="R17" i="1"/>
  <c r="Q17" i="1"/>
  <c r="P17" i="1"/>
  <c r="O17" i="1"/>
  <c r="N18" i="1"/>
  <c r="N17" i="1"/>
  <c r="M17" i="1"/>
  <c r="L17" i="1"/>
  <c r="K18" i="1"/>
  <c r="K17" i="1"/>
  <c r="J17" i="1"/>
  <c r="I17" i="1"/>
  <c r="H17" i="1"/>
  <c r="G17" i="1"/>
  <c r="F17" i="1"/>
  <c r="T58" i="1"/>
  <c r="T57" i="1"/>
  <c r="S57" i="1"/>
  <c r="S58" i="1"/>
  <c r="R57" i="1"/>
  <c r="R58" i="1"/>
  <c r="Q57" i="1"/>
  <c r="Q58" i="1"/>
  <c r="P57" i="1"/>
  <c r="P58" i="1"/>
  <c r="O57" i="1"/>
  <c r="O58" i="1"/>
  <c r="N57" i="1"/>
  <c r="N58" i="1"/>
  <c r="M57" i="1"/>
  <c r="M58" i="1"/>
  <c r="L57" i="1"/>
  <c r="L58" i="1"/>
  <c r="K57" i="1"/>
  <c r="K58" i="1"/>
  <c r="J57" i="1"/>
  <c r="J58" i="1"/>
  <c r="I57" i="1"/>
  <c r="I58" i="1"/>
  <c r="H57" i="1"/>
  <c r="H58" i="1"/>
  <c r="G58" i="1"/>
  <c r="T18" i="1"/>
  <c r="S18" i="1"/>
  <c r="R18" i="1"/>
  <c r="Q18" i="1"/>
  <c r="P18" i="1"/>
  <c r="O18" i="1"/>
  <c r="M18" i="1"/>
  <c r="L18" i="1"/>
  <c r="J18" i="1"/>
  <c r="I18" i="1"/>
  <c r="H18" i="1"/>
  <c r="G18" i="1"/>
  <c r="X142" i="1" l="1"/>
  <c r="W142" i="1"/>
  <c r="X143" i="1"/>
  <c r="X149" i="1"/>
  <c r="X109" i="1"/>
  <c r="W109" i="1"/>
  <c r="X110" i="1"/>
  <c r="W110" i="1"/>
  <c r="X111" i="1"/>
  <c r="W111" i="1"/>
  <c r="X112" i="1"/>
  <c r="S111" i="1"/>
  <c r="X18" i="1"/>
  <c r="W18" i="1"/>
  <c r="X51" i="1"/>
  <c r="X52" i="1"/>
  <c r="X55" i="1"/>
  <c r="W55" i="1"/>
  <c r="X58" i="1"/>
  <c r="S60" i="1"/>
  <c r="W58" i="1"/>
  <c r="X16" i="1"/>
  <c r="W16" i="1"/>
  <c r="X17" i="1"/>
  <c r="W17" i="1"/>
  <c r="W19" i="1"/>
  <c r="X19" i="1"/>
</calcChain>
</file>

<file path=xl/sharedStrings.xml><?xml version="1.0" encoding="utf-8"?>
<sst xmlns="http://schemas.openxmlformats.org/spreadsheetml/2006/main" count="189" uniqueCount="40">
  <si>
    <t>Algoritma 1</t>
  </si>
  <si>
    <t>d123</t>
  </si>
  <si>
    <t>d84</t>
  </si>
  <si>
    <t>d56</t>
  </si>
  <si>
    <t>d6</t>
  </si>
  <si>
    <t>d8</t>
  </si>
  <si>
    <t>d9</t>
  </si>
  <si>
    <t>d511</t>
  </si>
  <si>
    <t>d129</t>
  </si>
  <si>
    <t>d187</t>
  </si>
  <si>
    <t>d25</t>
  </si>
  <si>
    <t>d38</t>
  </si>
  <si>
    <t>d48</t>
  </si>
  <si>
    <t>d250</t>
  </si>
  <si>
    <t>d113</t>
  </si>
  <si>
    <t>d3</t>
  </si>
  <si>
    <t>recall</t>
  </si>
  <si>
    <t>precis</t>
  </si>
  <si>
    <t>1.0</t>
  </si>
  <si>
    <t>AvgPrec</t>
  </si>
  <si>
    <t>Retrieved</t>
  </si>
  <si>
    <t>Relevant</t>
  </si>
  <si>
    <t>Precision</t>
  </si>
  <si>
    <t>Recall</t>
  </si>
  <si>
    <t>Max</t>
  </si>
  <si>
    <t>0.0</t>
  </si>
  <si>
    <t>0.1</t>
  </si>
  <si>
    <t>0.9</t>
  </si>
  <si>
    <t>0.8</t>
  </si>
  <si>
    <t>0.7</t>
  </si>
  <si>
    <t>0.6</t>
  </si>
  <si>
    <t>0.5</t>
  </si>
  <si>
    <t>0.4</t>
  </si>
  <si>
    <t>0.3</t>
  </si>
  <si>
    <t>0.2</t>
  </si>
  <si>
    <t>0.25</t>
  </si>
  <si>
    <t>0.333</t>
  </si>
  <si>
    <t>max</t>
  </si>
  <si>
    <t>Algoritma 2</t>
  </si>
  <si>
    <t>d300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</si>
</sst>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34998626667073579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2" fillId="5" borderId="10" xfId="0" applyFont="1" applyFill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4" fillId="0" borderId="9" xfId="0" applyNumberFormat="1" applyFont="1" applyBorder="1" applyAlignment="1">
      <alignment horizontal="center"/>
    </xf>
    <xf numFmtId="0" fontId="5" fillId="0" borderId="9" xfId="0" applyNumberFormat="1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4" fillId="0" borderId="9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9" xfId="0" applyBorder="1" applyAlignment="1">
      <alignment vertical="center" wrapText="1"/>
    </xf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4" fillId="6" borderId="9" xfId="0" applyFont="1" applyFill="1" applyBorder="1" applyAlignment="1">
      <alignment horizontal="center" vertical="center"/>
    </xf>
    <xf numFmtId="0" fontId="0" fillId="6" borderId="9" xfId="0" applyFill="1" applyBorder="1"/>
    <xf numFmtId="9" fontId="2" fillId="0" borderId="9" xfId="0" applyNumberFormat="1" applyFont="1" applyBorder="1" applyAlignment="1">
      <alignment horizontal="center"/>
    </xf>
    <xf numFmtId="0" fontId="4" fillId="0" borderId="9" xfId="0" applyFont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/>
    </xf>
    <xf numFmtId="0" fontId="1" fillId="6" borderId="9" xfId="0" applyFont="1" applyFill="1" applyBorder="1"/>
    <xf numFmtId="0" fontId="0" fillId="3" borderId="9" xfId="0" applyFill="1" applyBorder="1" applyAlignment="1">
      <alignment horizontal="center"/>
    </xf>
    <xf numFmtId="0" fontId="5" fillId="3" borderId="9" xfId="0" applyNumberFormat="1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4" fillId="3" borderId="9" xfId="0" applyNumberFormat="1" applyFont="1" applyFill="1" applyBorder="1" applyAlignment="1">
      <alignment horizontal="center"/>
    </xf>
    <xf numFmtId="0" fontId="2" fillId="8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600074</xdr:colOff>
      <xdr:row>7</xdr:row>
      <xdr:rowOff>85724</xdr:rowOff>
    </xdr:from>
    <xdr:to>
      <xdr:col>9</xdr:col>
      <xdr:colOff>542925</xdr:colOff>
      <xdr:row>9</xdr:row>
      <xdr:rowOff>76199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E18B725-4631-B6E3-AC8C-00393F422226}"/>
            </a:ext>
          </a:extLst>
        </xdr:cNvPr>
        <xdr:cNvSpPr txBox="1"/>
      </xdr:nvSpPr>
      <xdr:spPr>
        <a:xfrm>
          <a:off x="3038474" y="1571624"/>
          <a:ext cx="2990851" cy="371475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id-ID" sz="1200" b="1"/>
            <a:t>Recall= </a:t>
          </a:r>
          <a:r>
            <a:rPr lang="id-ID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Relevant Retrieved </a:t>
          </a:r>
          <a:r>
            <a:rPr lang="id-ID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 </a:t>
          </a:r>
          <a:r>
            <a:rPr lang="id-ID" sz="1200" b="1"/>
            <a:t>Total Relevant  ​ </a:t>
          </a:r>
        </a:p>
        <a:p>
          <a:endParaRPr lang="id-ID" sz="1200" b="1"/>
        </a:p>
      </xdr:txBody>
    </xdr:sp>
    <xdr:clientData/>
  </xdr:twoCellAnchor>
  <xdr:twoCellAnchor>
    <xdr:from>
      <xdr:col>4</xdr:col>
      <xdr:colOff>609599</xdr:colOff>
      <xdr:row>9</xdr:row>
      <xdr:rowOff>104774</xdr:rowOff>
    </xdr:from>
    <xdr:to>
      <xdr:col>9</xdr:col>
      <xdr:colOff>552450</xdr:colOff>
      <xdr:row>11</xdr:row>
      <xdr:rowOff>95249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BF9F3B0-2158-4428-B94D-2781A79A9364}"/>
            </a:ext>
          </a:extLst>
        </xdr:cNvPr>
        <xdr:cNvSpPr txBox="1"/>
      </xdr:nvSpPr>
      <xdr:spPr>
        <a:xfrm>
          <a:off x="3047999" y="1971674"/>
          <a:ext cx="2990851" cy="371475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id-ID" sz="1200" b="1"/>
            <a:t>Precision= </a:t>
          </a:r>
          <a:r>
            <a:rPr lang="id-ID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Relevant Retrieved </a:t>
          </a:r>
          <a:r>
            <a:rPr lang="id-ID" sz="1200" b="1"/>
            <a:t>/ Retrieved​</a:t>
          </a:r>
        </a:p>
      </xdr:txBody>
    </xdr:sp>
    <xdr:clientData/>
  </xdr:twoCellAnchor>
  <xdr:twoCellAnchor>
    <xdr:from>
      <xdr:col>2</xdr:col>
      <xdr:colOff>590550</xdr:colOff>
      <xdr:row>13</xdr:row>
      <xdr:rowOff>66675</xdr:rowOff>
    </xdr:from>
    <xdr:to>
      <xdr:col>4</xdr:col>
      <xdr:colOff>57150</xdr:colOff>
      <xdr:row>14</xdr:row>
      <xdr:rowOff>123825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BACB34-8C6B-DC6F-C8F7-551C19816A30}"/>
            </a:ext>
          </a:extLst>
        </xdr:cNvPr>
        <xdr:cNvSpPr txBox="1"/>
      </xdr:nvSpPr>
      <xdr:spPr>
        <a:xfrm>
          <a:off x="1809750" y="2695575"/>
          <a:ext cx="685800" cy="24765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id-ID" sz="1200" b="1"/>
            <a:t>Query 1</a:t>
          </a:r>
        </a:p>
      </xdr:txBody>
    </xdr:sp>
    <xdr:clientData/>
  </xdr:twoCellAnchor>
  <xdr:twoCellAnchor>
    <xdr:from>
      <xdr:col>9</xdr:col>
      <xdr:colOff>219075</xdr:colOff>
      <xdr:row>20</xdr:row>
      <xdr:rowOff>0</xdr:rowOff>
    </xdr:from>
    <xdr:to>
      <xdr:col>13</xdr:col>
      <xdr:colOff>200025</xdr:colOff>
      <xdr:row>22</xdr:row>
      <xdr:rowOff>85725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8A272A9-BF32-CED5-91D5-C00CB6D25A53}"/>
            </a:ext>
          </a:extLst>
        </xdr:cNvPr>
        <xdr:cNvSpPr txBox="1"/>
      </xdr:nvSpPr>
      <xdr:spPr>
        <a:xfrm>
          <a:off x="5705475" y="4000500"/>
          <a:ext cx="2419350" cy="466725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id-ID" sz="1600" b="1"/>
            <a:t>Grafik Interpolasi</a:t>
          </a:r>
        </a:p>
      </xdr:txBody>
    </xdr:sp>
    <xdr:clientData/>
  </xdr:twoCellAnchor>
  <xdr:twoCellAnchor>
    <xdr:from>
      <xdr:col>4</xdr:col>
      <xdr:colOff>600074</xdr:colOff>
      <xdr:row>47</xdr:row>
      <xdr:rowOff>85724</xdr:rowOff>
    </xdr:from>
    <xdr:to>
      <xdr:col>9</xdr:col>
      <xdr:colOff>542925</xdr:colOff>
      <xdr:row>49</xdr:row>
      <xdr:rowOff>76199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BC3C90E4-0A5C-40AE-BF86-79D96B977814}"/>
            </a:ext>
          </a:extLst>
        </xdr:cNvPr>
        <xdr:cNvSpPr txBox="1"/>
      </xdr:nvSpPr>
      <xdr:spPr>
        <a:xfrm>
          <a:off x="3038474" y="1571624"/>
          <a:ext cx="2990851" cy="371475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eaLnBrk="1" fontAlgn="auto" latinLnBrk="0" hangingPunct="1"/>
          <a:r>
            <a:rPr lang="id-ID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Recall= Relevant Retrieved / Total Relevant  ​ </a:t>
          </a:r>
          <a:endParaRPr lang="id-ID" sz="1400">
            <a:effectLst/>
          </a:endParaRPr>
        </a:p>
      </xdr:txBody>
    </xdr:sp>
    <xdr:clientData/>
  </xdr:twoCellAnchor>
  <xdr:twoCellAnchor>
    <xdr:from>
      <xdr:col>4</xdr:col>
      <xdr:colOff>609599</xdr:colOff>
      <xdr:row>49</xdr:row>
      <xdr:rowOff>104774</xdr:rowOff>
    </xdr:from>
    <xdr:to>
      <xdr:col>9</xdr:col>
      <xdr:colOff>552450</xdr:colOff>
      <xdr:row>51</xdr:row>
      <xdr:rowOff>95249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E210FB7F-39E1-411F-A118-B80808C3E761}"/>
            </a:ext>
          </a:extLst>
        </xdr:cNvPr>
        <xdr:cNvSpPr txBox="1"/>
      </xdr:nvSpPr>
      <xdr:spPr>
        <a:xfrm>
          <a:off x="3047999" y="1971674"/>
          <a:ext cx="2990851" cy="390525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eaLnBrk="1" fontAlgn="auto" latinLnBrk="0" hangingPunct="1"/>
          <a:r>
            <a:rPr lang="id-ID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Precision= Relevant Retrieved / Retrieved​</a:t>
          </a:r>
          <a:endParaRPr lang="id-ID" sz="1400">
            <a:effectLst/>
          </a:endParaRPr>
        </a:p>
      </xdr:txBody>
    </xdr:sp>
    <xdr:clientData/>
  </xdr:twoCellAnchor>
  <xdr:twoCellAnchor>
    <xdr:from>
      <xdr:col>2</xdr:col>
      <xdr:colOff>590550</xdr:colOff>
      <xdr:row>53</xdr:row>
      <xdr:rowOff>66675</xdr:rowOff>
    </xdr:from>
    <xdr:to>
      <xdr:col>4</xdr:col>
      <xdr:colOff>57150</xdr:colOff>
      <xdr:row>54</xdr:row>
      <xdr:rowOff>123825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81F5052C-F59C-4D63-8DD0-BAC876CD244F}"/>
            </a:ext>
          </a:extLst>
        </xdr:cNvPr>
        <xdr:cNvSpPr txBox="1"/>
      </xdr:nvSpPr>
      <xdr:spPr>
        <a:xfrm>
          <a:off x="1809750" y="2733675"/>
          <a:ext cx="685800" cy="257175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id-ID" sz="1200" b="1"/>
            <a:t>Query 2</a:t>
          </a:r>
        </a:p>
      </xdr:txBody>
    </xdr:sp>
    <xdr:clientData/>
  </xdr:twoCellAnchor>
  <xdr:twoCellAnchor>
    <xdr:from>
      <xdr:col>9</xdr:col>
      <xdr:colOff>219075</xdr:colOff>
      <xdr:row>60</xdr:row>
      <xdr:rowOff>0</xdr:rowOff>
    </xdr:from>
    <xdr:to>
      <xdr:col>13</xdr:col>
      <xdr:colOff>200025</xdr:colOff>
      <xdr:row>62</xdr:row>
      <xdr:rowOff>85725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B388A31B-AFDB-4360-8818-B53F9189603A}"/>
            </a:ext>
          </a:extLst>
        </xdr:cNvPr>
        <xdr:cNvSpPr txBox="1"/>
      </xdr:nvSpPr>
      <xdr:spPr>
        <a:xfrm>
          <a:off x="5705475" y="4067175"/>
          <a:ext cx="2419350" cy="47625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id-ID" sz="1600" b="1"/>
            <a:t>Grafik Interpolasi</a:t>
          </a:r>
        </a:p>
      </xdr:txBody>
    </xdr:sp>
    <xdr:clientData/>
  </xdr:twoCellAnchor>
  <xdr:twoCellAnchor editAs="oneCell">
    <xdr:from>
      <xdr:col>6</xdr:col>
      <xdr:colOff>590550</xdr:colOff>
      <xdr:row>23</xdr:row>
      <xdr:rowOff>95250</xdr:rowOff>
    </xdr:from>
    <xdr:to>
      <xdr:col>15</xdr:col>
      <xdr:colOff>206593</xdr:colOff>
      <xdr:row>43</xdr:row>
      <xdr:rowOff>161925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E0DADBA7-2703-AA26-AC3C-F8561343D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8150" y="4743450"/>
          <a:ext cx="5102443" cy="3876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24</xdr:col>
      <xdr:colOff>515471</xdr:colOff>
      <xdr:row>46</xdr:row>
      <xdr:rowOff>33617</xdr:rowOff>
    </xdr:from>
    <xdr:to>
      <xdr:col>31</xdr:col>
      <xdr:colOff>11204</xdr:colOff>
      <xdr:row>48</xdr:row>
      <xdr:rowOff>22411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12F295E4-1496-1430-F355-9C600C59956F}"/>
            </a:ext>
          </a:extLst>
        </xdr:cNvPr>
        <xdr:cNvSpPr txBox="1"/>
      </xdr:nvSpPr>
      <xdr:spPr>
        <a:xfrm>
          <a:off x="15129170" y="9141083"/>
          <a:ext cx="3788507" cy="380232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id-ID" sz="1200" b="1"/>
            <a:t>Cara Interpolated Precision-Recall (standar IR)</a:t>
          </a:r>
        </a:p>
      </xdr:txBody>
    </xdr:sp>
    <xdr:clientData/>
  </xdr:twoCellAnchor>
  <xdr:twoCellAnchor editAs="oneCell">
    <xdr:from>
      <xdr:col>11</xdr:col>
      <xdr:colOff>582706</xdr:colOff>
      <xdr:row>64</xdr:row>
      <xdr:rowOff>112060</xdr:rowOff>
    </xdr:from>
    <xdr:to>
      <xdr:col>19</xdr:col>
      <xdr:colOff>392206</xdr:colOff>
      <xdr:row>84</xdr:row>
      <xdr:rowOff>8622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198120D4-08A8-B0D3-632D-549885C5FF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0" y="12752295"/>
          <a:ext cx="4650441" cy="37065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268943</xdr:colOff>
      <xdr:row>64</xdr:row>
      <xdr:rowOff>123264</xdr:rowOff>
    </xdr:from>
    <xdr:to>
      <xdr:col>11</xdr:col>
      <xdr:colOff>81687</xdr:colOff>
      <xdr:row>84</xdr:row>
      <xdr:rowOff>22411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C50E22FE-6D81-68D6-6B7C-0FF9F0669E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84296" y="12763499"/>
          <a:ext cx="4653685" cy="3709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600074</xdr:colOff>
      <xdr:row>98</xdr:row>
      <xdr:rowOff>85724</xdr:rowOff>
    </xdr:from>
    <xdr:to>
      <xdr:col>9</xdr:col>
      <xdr:colOff>542925</xdr:colOff>
      <xdr:row>100</xdr:row>
      <xdr:rowOff>76199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E69C5FAE-2B95-42F1-B053-64E2EF48E4C5}"/>
            </a:ext>
          </a:extLst>
        </xdr:cNvPr>
        <xdr:cNvSpPr txBox="1"/>
      </xdr:nvSpPr>
      <xdr:spPr>
        <a:xfrm>
          <a:off x="3053088" y="1560142"/>
          <a:ext cx="3009118" cy="381913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id-ID" sz="1200" b="1"/>
            <a:t>Recall= </a:t>
          </a:r>
          <a:r>
            <a:rPr lang="id-ID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Relevant Retrieved </a:t>
          </a:r>
          <a:r>
            <a:rPr lang="id-ID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 </a:t>
          </a:r>
          <a:r>
            <a:rPr lang="id-ID" sz="1200" b="1"/>
            <a:t>Total Relevant  ​ </a:t>
          </a:r>
        </a:p>
        <a:p>
          <a:endParaRPr lang="id-ID" sz="1200" b="1"/>
        </a:p>
      </xdr:txBody>
    </xdr:sp>
    <xdr:clientData/>
  </xdr:twoCellAnchor>
  <xdr:twoCellAnchor>
    <xdr:from>
      <xdr:col>4</xdr:col>
      <xdr:colOff>609599</xdr:colOff>
      <xdr:row>100</xdr:row>
      <xdr:rowOff>104774</xdr:rowOff>
    </xdr:from>
    <xdr:to>
      <xdr:col>9</xdr:col>
      <xdr:colOff>552450</xdr:colOff>
      <xdr:row>102</xdr:row>
      <xdr:rowOff>95249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5FC9D43E-7722-4BC7-A0CB-0679E79E1F2B}"/>
            </a:ext>
          </a:extLst>
        </xdr:cNvPr>
        <xdr:cNvSpPr txBox="1"/>
      </xdr:nvSpPr>
      <xdr:spPr>
        <a:xfrm>
          <a:off x="3062613" y="1970630"/>
          <a:ext cx="3009118" cy="381914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id-ID" sz="1200" b="1"/>
            <a:t>Precision= </a:t>
          </a:r>
          <a:r>
            <a:rPr lang="id-ID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Relevant Retrieved </a:t>
          </a:r>
          <a:r>
            <a:rPr lang="id-ID" sz="1200" b="1"/>
            <a:t>/ Retrieved​</a:t>
          </a:r>
        </a:p>
      </xdr:txBody>
    </xdr:sp>
    <xdr:clientData/>
  </xdr:twoCellAnchor>
  <xdr:twoCellAnchor>
    <xdr:from>
      <xdr:col>2</xdr:col>
      <xdr:colOff>590550</xdr:colOff>
      <xdr:row>104</xdr:row>
      <xdr:rowOff>66675</xdr:rowOff>
    </xdr:from>
    <xdr:to>
      <xdr:col>4</xdr:col>
      <xdr:colOff>57150</xdr:colOff>
      <xdr:row>105</xdr:row>
      <xdr:rowOff>123825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8044EAB7-F4AB-4E6A-B47E-FF3A10C6E48D}"/>
            </a:ext>
          </a:extLst>
        </xdr:cNvPr>
        <xdr:cNvSpPr txBox="1"/>
      </xdr:nvSpPr>
      <xdr:spPr>
        <a:xfrm>
          <a:off x="1817057" y="2715408"/>
          <a:ext cx="693107" cy="25286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id-ID" sz="1200" b="1"/>
            <a:t>Query 1</a:t>
          </a:r>
        </a:p>
      </xdr:txBody>
    </xdr:sp>
    <xdr:clientData/>
  </xdr:twoCellAnchor>
  <xdr:twoCellAnchor>
    <xdr:from>
      <xdr:col>9</xdr:col>
      <xdr:colOff>219075</xdr:colOff>
      <xdr:row>111</xdr:row>
      <xdr:rowOff>0</xdr:rowOff>
    </xdr:from>
    <xdr:to>
      <xdr:col>13</xdr:col>
      <xdr:colOff>200025</xdr:colOff>
      <xdr:row>113</xdr:row>
      <xdr:rowOff>85725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929246F5-6D94-48C0-A069-AF1E723521F7}"/>
            </a:ext>
          </a:extLst>
        </xdr:cNvPr>
        <xdr:cNvSpPr txBox="1"/>
      </xdr:nvSpPr>
      <xdr:spPr>
        <a:xfrm>
          <a:off x="5738356" y="4018767"/>
          <a:ext cx="2433964" cy="477163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id-ID" sz="1600" b="1"/>
            <a:t>Grafik Interpolasi</a:t>
          </a:r>
        </a:p>
      </xdr:txBody>
    </xdr:sp>
    <xdr:clientData/>
  </xdr:twoCellAnchor>
  <xdr:twoCellAnchor>
    <xdr:from>
      <xdr:col>4</xdr:col>
      <xdr:colOff>600074</xdr:colOff>
      <xdr:row>138</xdr:row>
      <xdr:rowOff>85724</xdr:rowOff>
    </xdr:from>
    <xdr:to>
      <xdr:col>9</xdr:col>
      <xdr:colOff>542925</xdr:colOff>
      <xdr:row>140</xdr:row>
      <xdr:rowOff>76199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857B2C33-F942-424A-BA12-8673656C8783}"/>
            </a:ext>
          </a:extLst>
        </xdr:cNvPr>
        <xdr:cNvSpPr txBox="1"/>
      </xdr:nvSpPr>
      <xdr:spPr>
        <a:xfrm>
          <a:off x="3053088" y="9388909"/>
          <a:ext cx="3009118" cy="381913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eaLnBrk="1" fontAlgn="auto" latinLnBrk="0" hangingPunct="1"/>
          <a:r>
            <a:rPr lang="id-ID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Recall= Relevant Retrieved / Total Relevant  ​ </a:t>
          </a:r>
          <a:endParaRPr lang="id-ID" sz="1400">
            <a:effectLst/>
          </a:endParaRPr>
        </a:p>
      </xdr:txBody>
    </xdr:sp>
    <xdr:clientData/>
  </xdr:twoCellAnchor>
  <xdr:twoCellAnchor>
    <xdr:from>
      <xdr:col>4</xdr:col>
      <xdr:colOff>609599</xdr:colOff>
      <xdr:row>140</xdr:row>
      <xdr:rowOff>104774</xdr:rowOff>
    </xdr:from>
    <xdr:to>
      <xdr:col>9</xdr:col>
      <xdr:colOff>552450</xdr:colOff>
      <xdr:row>142</xdr:row>
      <xdr:rowOff>95249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D0E77E5D-A451-441A-B30E-593BEC4F14F3}"/>
            </a:ext>
          </a:extLst>
        </xdr:cNvPr>
        <xdr:cNvSpPr txBox="1"/>
      </xdr:nvSpPr>
      <xdr:spPr>
        <a:xfrm>
          <a:off x="3062613" y="9799397"/>
          <a:ext cx="3009118" cy="381914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eaLnBrk="1" fontAlgn="auto" latinLnBrk="0" hangingPunct="1"/>
          <a:r>
            <a:rPr lang="id-ID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Precision= Relevant Retrieved / Retrieved​</a:t>
          </a:r>
          <a:endParaRPr lang="id-ID" sz="1400">
            <a:effectLst/>
          </a:endParaRPr>
        </a:p>
      </xdr:txBody>
    </xdr:sp>
    <xdr:clientData/>
  </xdr:twoCellAnchor>
  <xdr:twoCellAnchor>
    <xdr:from>
      <xdr:col>2</xdr:col>
      <xdr:colOff>590550</xdr:colOff>
      <xdr:row>144</xdr:row>
      <xdr:rowOff>66675</xdr:rowOff>
    </xdr:from>
    <xdr:to>
      <xdr:col>4</xdr:col>
      <xdr:colOff>57150</xdr:colOff>
      <xdr:row>145</xdr:row>
      <xdr:rowOff>123825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D1CBC0FE-9043-4EE7-8E65-DB8D85FFC908}"/>
            </a:ext>
          </a:extLst>
        </xdr:cNvPr>
        <xdr:cNvSpPr txBox="1"/>
      </xdr:nvSpPr>
      <xdr:spPr>
        <a:xfrm>
          <a:off x="1817057" y="10544175"/>
          <a:ext cx="693107" cy="25286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id-ID" sz="1200" b="1"/>
            <a:t>Query 2</a:t>
          </a:r>
        </a:p>
      </xdr:txBody>
    </xdr:sp>
    <xdr:clientData/>
  </xdr:twoCellAnchor>
  <xdr:twoCellAnchor>
    <xdr:from>
      <xdr:col>9</xdr:col>
      <xdr:colOff>219075</xdr:colOff>
      <xdr:row>151</xdr:row>
      <xdr:rowOff>0</xdr:rowOff>
    </xdr:from>
    <xdr:to>
      <xdr:col>13</xdr:col>
      <xdr:colOff>200025</xdr:colOff>
      <xdr:row>153</xdr:row>
      <xdr:rowOff>85725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B9F2E05F-68D4-48DA-856D-84F9466CFE1A}"/>
            </a:ext>
          </a:extLst>
        </xdr:cNvPr>
        <xdr:cNvSpPr txBox="1"/>
      </xdr:nvSpPr>
      <xdr:spPr>
        <a:xfrm>
          <a:off x="5738356" y="11847534"/>
          <a:ext cx="2433964" cy="477164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id-ID" sz="1600" b="1"/>
            <a:t>Grafik Interpolasi</a:t>
          </a:r>
        </a:p>
      </xdr:txBody>
    </xdr:sp>
    <xdr:clientData/>
  </xdr:twoCellAnchor>
  <xdr:twoCellAnchor editAs="oneCell">
    <xdr:from>
      <xdr:col>7</xdr:col>
      <xdr:colOff>160322</xdr:colOff>
      <xdr:row>114</xdr:row>
      <xdr:rowOff>66014</xdr:rowOff>
    </xdr:from>
    <xdr:to>
      <xdr:col>14</xdr:col>
      <xdr:colOff>594133</xdr:colOff>
      <xdr:row>133</xdr:row>
      <xdr:rowOff>19586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A0EA3A17-5257-A239-4EAA-B5108DDE1D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51287" y="22228143"/>
          <a:ext cx="4724777" cy="35372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264059</xdr:colOff>
      <xdr:row>154</xdr:row>
      <xdr:rowOff>160322</xdr:rowOff>
    </xdr:from>
    <xdr:to>
      <xdr:col>18</xdr:col>
      <xdr:colOff>193555</xdr:colOff>
      <xdr:row>172</xdr:row>
      <xdr:rowOff>56585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FB8DCD36-842F-9D3B-6EF3-DF4E6637DC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07005" y="29999035"/>
          <a:ext cx="4220461" cy="32913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443243</xdr:colOff>
      <xdr:row>154</xdr:row>
      <xdr:rowOff>94306</xdr:rowOff>
    </xdr:from>
    <xdr:to>
      <xdr:col>10</xdr:col>
      <xdr:colOff>517858</xdr:colOff>
      <xdr:row>172</xdr:row>
      <xdr:rowOff>103738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CEF222D6-101C-0E3F-BCD4-4E3497F04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2228" y="29933019"/>
          <a:ext cx="4365580" cy="34044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111EF-E20D-473F-80B0-5F6875D2D2E0}">
  <dimension ref="E2:AC175"/>
  <sheetViews>
    <sheetView tabSelected="1" topLeftCell="A151" zoomScale="101" zoomScaleNormal="85" workbookViewId="0">
      <selection activeCell="T168" sqref="T168"/>
    </sheetView>
  </sheetViews>
  <sheetFormatPr defaultRowHeight="15" x14ac:dyDescent="0.25"/>
  <cols>
    <col min="1" max="6" width="9.140625" style="1"/>
    <col min="7" max="7" width="9.140625" style="1" customWidth="1"/>
    <col min="8" max="12" width="9.140625" style="1"/>
    <col min="13" max="15" width="9.140625" style="1" customWidth="1"/>
    <col min="16" max="23" width="9.140625" style="1"/>
    <col min="24" max="24" width="7.5703125" style="1" customWidth="1"/>
    <col min="25" max="16384" width="9.140625" style="1"/>
  </cols>
  <sheetData>
    <row r="2" spans="6:25" ht="15.75" thickBot="1" x14ac:dyDescent="0.3"/>
    <row r="3" spans="6:25" x14ac:dyDescent="0.25">
      <c r="J3" s="2"/>
      <c r="K3" s="3"/>
      <c r="L3" s="3"/>
      <c r="M3" s="3"/>
      <c r="N3" s="4"/>
    </row>
    <row r="4" spans="6:25" ht="24" x14ac:dyDescent="0.4">
      <c r="J4" s="5"/>
      <c r="K4" s="6"/>
      <c r="L4" s="7" t="s">
        <v>0</v>
      </c>
      <c r="M4" s="6"/>
      <c r="N4" s="8"/>
    </row>
    <row r="5" spans="6:25" ht="15.75" thickBot="1" x14ac:dyDescent="0.3">
      <c r="J5" s="9"/>
      <c r="K5" s="10"/>
      <c r="L5" s="10"/>
      <c r="M5" s="10"/>
      <c r="N5" s="11"/>
    </row>
    <row r="6" spans="6:25" ht="15.75" x14ac:dyDescent="0.25">
      <c r="F6" s="18" t="s">
        <v>21</v>
      </c>
      <c r="G6" s="14">
        <v>10</v>
      </c>
    </row>
    <row r="7" spans="6:25" ht="15.75" x14ac:dyDescent="0.25">
      <c r="F7" s="18" t="s">
        <v>20</v>
      </c>
      <c r="G7" s="13">
        <v>15</v>
      </c>
    </row>
    <row r="10" spans="6:25" ht="15.75" x14ac:dyDescent="0.25">
      <c r="V10" s="30" t="s">
        <v>23</v>
      </c>
      <c r="W10" s="31" t="s">
        <v>22</v>
      </c>
      <c r="X10" s="30" t="s">
        <v>24</v>
      </c>
      <c r="Y10" s="23"/>
    </row>
    <row r="11" spans="6:25" ht="15.75" x14ac:dyDescent="0.25">
      <c r="V11" s="22" t="s">
        <v>18</v>
      </c>
      <c r="W11" s="22">
        <v>0</v>
      </c>
      <c r="X11" s="22">
        <v>0</v>
      </c>
      <c r="Y11" s="23"/>
    </row>
    <row r="12" spans="6:25" ht="15.75" x14ac:dyDescent="0.25">
      <c r="V12" s="22" t="s">
        <v>27</v>
      </c>
      <c r="W12" s="22">
        <v>0</v>
      </c>
      <c r="X12" s="22">
        <v>0</v>
      </c>
      <c r="Y12" s="23"/>
    </row>
    <row r="13" spans="6:25" ht="15.75" x14ac:dyDescent="0.25">
      <c r="V13" s="22" t="s">
        <v>28</v>
      </c>
      <c r="W13" s="22">
        <v>0</v>
      </c>
      <c r="X13" s="22">
        <v>0</v>
      </c>
      <c r="Y13" s="23"/>
    </row>
    <row r="14" spans="6:25" ht="15.75" x14ac:dyDescent="0.25">
      <c r="V14" s="22" t="s">
        <v>29</v>
      </c>
      <c r="W14" s="22">
        <v>0</v>
      </c>
      <c r="X14" s="22">
        <v>0</v>
      </c>
      <c r="Y14" s="23"/>
    </row>
    <row r="15" spans="6:25" ht="15.75" x14ac:dyDescent="0.25">
      <c r="F15" s="12">
        <v>1</v>
      </c>
      <c r="G15" s="12">
        <v>2</v>
      </c>
      <c r="H15" s="12">
        <v>3</v>
      </c>
      <c r="I15" s="12">
        <v>4</v>
      </c>
      <c r="J15" s="12">
        <v>5</v>
      </c>
      <c r="K15" s="12">
        <v>6</v>
      </c>
      <c r="L15" s="12">
        <v>7</v>
      </c>
      <c r="M15" s="12">
        <v>8</v>
      </c>
      <c r="N15" s="12">
        <v>9</v>
      </c>
      <c r="O15" s="12">
        <v>10</v>
      </c>
      <c r="P15" s="12">
        <v>11</v>
      </c>
      <c r="Q15" s="12">
        <v>12</v>
      </c>
      <c r="R15" s="12">
        <v>13</v>
      </c>
      <c r="S15" s="12">
        <v>14</v>
      </c>
      <c r="T15" s="12">
        <v>15</v>
      </c>
      <c r="V15" s="22" t="s">
        <v>30</v>
      </c>
      <c r="W15" s="22">
        <v>0</v>
      </c>
      <c r="X15" s="22">
        <v>0</v>
      </c>
      <c r="Y15" s="23"/>
    </row>
    <row r="16" spans="6:25" ht="15.75" x14ac:dyDescent="0.25">
      <c r="F16" s="15" t="s">
        <v>1</v>
      </c>
      <c r="G16" s="16" t="s">
        <v>2</v>
      </c>
      <c r="H16" s="15" t="s">
        <v>3</v>
      </c>
      <c r="I16" s="16" t="s">
        <v>4</v>
      </c>
      <c r="J16" s="16" t="s">
        <v>5</v>
      </c>
      <c r="K16" s="15" t="s">
        <v>6</v>
      </c>
      <c r="L16" s="16" t="s">
        <v>7</v>
      </c>
      <c r="M16" s="16" t="s">
        <v>8</v>
      </c>
      <c r="N16" s="16" t="s">
        <v>9</v>
      </c>
      <c r="O16" s="15" t="s">
        <v>10</v>
      </c>
      <c r="P16" s="16" t="s">
        <v>11</v>
      </c>
      <c r="Q16" s="16" t="s">
        <v>12</v>
      </c>
      <c r="R16" s="16" t="s">
        <v>13</v>
      </c>
      <c r="S16" s="16" t="s">
        <v>14</v>
      </c>
      <c r="T16" s="15" t="s">
        <v>15</v>
      </c>
      <c r="V16" s="22" t="s">
        <v>31</v>
      </c>
      <c r="W16" s="22">
        <f>T18</f>
        <v>0.33333333333333331</v>
      </c>
      <c r="X16" s="22">
        <f>T18</f>
        <v>0.33333333333333331</v>
      </c>
      <c r="Y16" s="23"/>
    </row>
    <row r="17" spans="5:25" ht="15.75" x14ac:dyDescent="0.25">
      <c r="E17" s="17" t="s">
        <v>16</v>
      </c>
      <c r="F17" s="20">
        <f>1/10</f>
        <v>0.1</v>
      </c>
      <c r="G17" s="17">
        <f>1/10</f>
        <v>0.1</v>
      </c>
      <c r="H17" s="21">
        <f>2/10</f>
        <v>0.2</v>
      </c>
      <c r="I17" s="17">
        <f>2/10</f>
        <v>0.2</v>
      </c>
      <c r="J17" s="17">
        <f>2/10</f>
        <v>0.2</v>
      </c>
      <c r="K17" s="21">
        <f>3/10</f>
        <v>0.3</v>
      </c>
      <c r="L17" s="17">
        <f>3/10</f>
        <v>0.3</v>
      </c>
      <c r="M17" s="19">
        <f>3/10</f>
        <v>0.3</v>
      </c>
      <c r="N17" s="19">
        <f>3/10</f>
        <v>0.3</v>
      </c>
      <c r="O17" s="20">
        <f>4/10</f>
        <v>0.4</v>
      </c>
      <c r="P17" s="19">
        <f>4/10</f>
        <v>0.4</v>
      </c>
      <c r="Q17" s="19">
        <f>4/10</f>
        <v>0.4</v>
      </c>
      <c r="R17" s="19">
        <f>4/10</f>
        <v>0.4</v>
      </c>
      <c r="S17" s="19">
        <f>4/10</f>
        <v>0.4</v>
      </c>
      <c r="T17" s="20">
        <f>5/10</f>
        <v>0.5</v>
      </c>
      <c r="V17" s="22" t="s">
        <v>32</v>
      </c>
      <c r="W17" s="22">
        <f>O18</f>
        <v>0.4</v>
      </c>
      <c r="X17" s="22">
        <f>O18</f>
        <v>0.4</v>
      </c>
      <c r="Y17" s="23"/>
    </row>
    <row r="18" spans="5:25" ht="15.75" x14ac:dyDescent="0.25">
      <c r="E18" s="17" t="s">
        <v>17</v>
      </c>
      <c r="F18" s="17" t="s">
        <v>18</v>
      </c>
      <c r="G18" s="17">
        <f>1/2</f>
        <v>0.5</v>
      </c>
      <c r="H18" s="17">
        <f>2/3</f>
        <v>0.66666666666666663</v>
      </c>
      <c r="I18" s="17">
        <f>2/4</f>
        <v>0.5</v>
      </c>
      <c r="J18" s="17">
        <f>2/5</f>
        <v>0.4</v>
      </c>
      <c r="K18" s="19">
        <f>3/6</f>
        <v>0.5</v>
      </c>
      <c r="L18" s="17">
        <f>3/7</f>
        <v>0.42857142857142855</v>
      </c>
      <c r="M18" s="19">
        <f>3/8</f>
        <v>0.375</v>
      </c>
      <c r="N18" s="19">
        <f>3/9</f>
        <v>0.33333333333333331</v>
      </c>
      <c r="O18" s="19">
        <f>4/10</f>
        <v>0.4</v>
      </c>
      <c r="P18" s="19">
        <f>4/11</f>
        <v>0.36363636363636365</v>
      </c>
      <c r="Q18" s="19">
        <f>4/12</f>
        <v>0.33333333333333331</v>
      </c>
      <c r="R18" s="19">
        <f>4/13</f>
        <v>0.30769230769230771</v>
      </c>
      <c r="S18" s="19">
        <f>4/14</f>
        <v>0.2857142857142857</v>
      </c>
      <c r="T18" s="19">
        <f>5/15</f>
        <v>0.33333333333333331</v>
      </c>
      <c r="V18" s="22" t="s">
        <v>33</v>
      </c>
      <c r="W18" s="22">
        <f>K18</f>
        <v>0.5</v>
      </c>
      <c r="X18" s="22">
        <f>K18</f>
        <v>0.5</v>
      </c>
      <c r="Y18" s="23"/>
    </row>
    <row r="19" spans="5:25" ht="15.75" x14ac:dyDescent="0.25">
      <c r="V19" s="22" t="s">
        <v>34</v>
      </c>
      <c r="W19" s="22">
        <f>H18</f>
        <v>0.66666666666666663</v>
      </c>
      <c r="X19" s="22">
        <f>H18</f>
        <v>0.66666666666666663</v>
      </c>
      <c r="Y19" s="23"/>
    </row>
    <row r="20" spans="5:25" ht="15.75" x14ac:dyDescent="0.25">
      <c r="R20" s="18" t="s">
        <v>19</v>
      </c>
      <c r="S20" s="32">
        <v>0.28999999999999998</v>
      </c>
      <c r="V20" s="22" t="s">
        <v>26</v>
      </c>
      <c r="W20" s="22" t="s">
        <v>18</v>
      </c>
      <c r="X20" s="22" t="s">
        <v>18</v>
      </c>
      <c r="Y20" s="23"/>
    </row>
    <row r="21" spans="5:25" ht="15.75" x14ac:dyDescent="0.25">
      <c r="V21" s="17" t="s">
        <v>25</v>
      </c>
      <c r="W21" s="17">
        <v>0</v>
      </c>
      <c r="X21" s="17" t="str">
        <f>F18</f>
        <v>1.0</v>
      </c>
    </row>
    <row r="25" spans="5:25" x14ac:dyDescent="0.25">
      <c r="V25" s="27"/>
      <c r="W25" s="27"/>
    </row>
    <row r="26" spans="5:25" x14ac:dyDescent="0.25">
      <c r="V26" s="28"/>
      <c r="W26" s="28"/>
    </row>
    <row r="27" spans="5:25" x14ac:dyDescent="0.25">
      <c r="K27"/>
      <c r="L27"/>
      <c r="O27"/>
      <c r="V27" s="28"/>
      <c r="W27" s="28"/>
    </row>
    <row r="28" spans="5:25" x14ac:dyDescent="0.25">
      <c r="V28" s="28"/>
      <c r="W28" s="28"/>
    </row>
    <row r="29" spans="5:25" x14ac:dyDescent="0.25">
      <c r="V29" s="28"/>
      <c r="W29" s="28"/>
    </row>
    <row r="30" spans="5:25" x14ac:dyDescent="0.25">
      <c r="V30" s="28"/>
      <c r="W30" s="28"/>
    </row>
    <row r="31" spans="5:25" x14ac:dyDescent="0.25">
      <c r="V31" s="28"/>
      <c r="W31" s="28"/>
    </row>
    <row r="32" spans="5:25" x14ac:dyDescent="0.25">
      <c r="V32" s="28"/>
      <c r="W32" s="28"/>
    </row>
    <row r="33" spans="6:23" x14ac:dyDescent="0.25">
      <c r="V33" s="28"/>
      <c r="W33" s="28"/>
    </row>
    <row r="34" spans="6:23" x14ac:dyDescent="0.25">
      <c r="V34" s="28"/>
      <c r="W34" s="28"/>
    </row>
    <row r="35" spans="6:23" x14ac:dyDescent="0.25">
      <c r="V35" s="28"/>
      <c r="W35" s="28"/>
    </row>
    <row r="36" spans="6:23" x14ac:dyDescent="0.25">
      <c r="V36" s="28"/>
      <c r="W36" s="28"/>
    </row>
    <row r="37" spans="6:23" x14ac:dyDescent="0.25">
      <c r="V37" s="29"/>
      <c r="W37" s="29"/>
    </row>
    <row r="46" spans="6:23" ht="15.75" x14ac:dyDescent="0.25">
      <c r="F46" s="18" t="s">
        <v>21</v>
      </c>
      <c r="G46" s="14">
        <v>3</v>
      </c>
    </row>
    <row r="47" spans="6:23" ht="15.75" x14ac:dyDescent="0.25">
      <c r="F47" s="18" t="s">
        <v>20</v>
      </c>
      <c r="G47" s="13">
        <v>15</v>
      </c>
    </row>
    <row r="50" spans="5:29" ht="15.75" x14ac:dyDescent="0.25">
      <c r="V50" s="35" t="s">
        <v>23</v>
      </c>
      <c r="W50" s="36" t="s">
        <v>22</v>
      </c>
      <c r="X50" s="35" t="s">
        <v>24</v>
      </c>
      <c r="AB50" s="34" t="s">
        <v>23</v>
      </c>
      <c r="AC50" s="34" t="s">
        <v>37</v>
      </c>
    </row>
    <row r="51" spans="5:29" ht="15.75" x14ac:dyDescent="0.25">
      <c r="V51" s="22" t="s">
        <v>18</v>
      </c>
      <c r="W51" s="22">
        <v>0.2</v>
      </c>
      <c r="X51" s="22">
        <f>T58</f>
        <v>0.2</v>
      </c>
      <c r="AB51" s="33" t="s">
        <v>18</v>
      </c>
      <c r="AC51" s="33" t="s">
        <v>34</v>
      </c>
    </row>
    <row r="52" spans="5:29" ht="15.75" x14ac:dyDescent="0.25">
      <c r="V52" s="22" t="s">
        <v>27</v>
      </c>
      <c r="W52" s="22">
        <v>0</v>
      </c>
      <c r="X52" s="22">
        <f>T58</f>
        <v>0.2</v>
      </c>
      <c r="AB52" s="33" t="s">
        <v>27</v>
      </c>
      <c r="AC52" s="33" t="s">
        <v>34</v>
      </c>
    </row>
    <row r="53" spans="5:29" ht="15.75" x14ac:dyDescent="0.25">
      <c r="V53" s="22" t="s">
        <v>28</v>
      </c>
      <c r="W53" s="22">
        <v>0</v>
      </c>
      <c r="X53" s="22">
        <v>0</v>
      </c>
      <c r="AB53" s="33" t="s">
        <v>28</v>
      </c>
      <c r="AC53" s="33" t="s">
        <v>34</v>
      </c>
    </row>
    <row r="54" spans="5:29" ht="15.75" x14ac:dyDescent="0.25">
      <c r="V54" s="22" t="s">
        <v>29</v>
      </c>
      <c r="W54" s="22">
        <v>0</v>
      </c>
      <c r="X54" s="22">
        <v>0</v>
      </c>
      <c r="AB54" s="33" t="s">
        <v>29</v>
      </c>
      <c r="AC54" s="33" t="s">
        <v>34</v>
      </c>
    </row>
    <row r="55" spans="5:29" ht="15.75" x14ac:dyDescent="0.25">
      <c r="F55" s="12">
        <v>1</v>
      </c>
      <c r="G55" s="12">
        <v>2</v>
      </c>
      <c r="H55" s="12">
        <v>3</v>
      </c>
      <c r="I55" s="12">
        <v>4</v>
      </c>
      <c r="J55" s="12">
        <v>5</v>
      </c>
      <c r="K55" s="12">
        <v>6</v>
      </c>
      <c r="L55" s="12">
        <v>7</v>
      </c>
      <c r="M55" s="12">
        <v>8</v>
      </c>
      <c r="N55" s="12">
        <v>9</v>
      </c>
      <c r="O55" s="12">
        <v>10</v>
      </c>
      <c r="P55" s="12">
        <v>11</v>
      </c>
      <c r="Q55" s="12">
        <v>12</v>
      </c>
      <c r="R55" s="12">
        <v>13</v>
      </c>
      <c r="S55" s="12">
        <v>14</v>
      </c>
      <c r="T55" s="12">
        <v>15</v>
      </c>
      <c r="V55" s="22" t="s">
        <v>30</v>
      </c>
      <c r="W55" s="22">
        <f>M58</f>
        <v>0.25</v>
      </c>
      <c r="X55" s="22">
        <f>M58</f>
        <v>0.25</v>
      </c>
      <c r="AB55" s="33" t="s">
        <v>30</v>
      </c>
      <c r="AC55" s="33" t="s">
        <v>35</v>
      </c>
    </row>
    <row r="56" spans="5:29" ht="15.75" x14ac:dyDescent="0.25">
      <c r="F56" s="16" t="s">
        <v>1</v>
      </c>
      <c r="G56" s="16" t="s">
        <v>2</v>
      </c>
      <c r="H56" s="15" t="s">
        <v>3</v>
      </c>
      <c r="I56" s="16" t="s">
        <v>4</v>
      </c>
      <c r="J56" s="16" t="s">
        <v>5</v>
      </c>
      <c r="K56" s="16" t="s">
        <v>6</v>
      </c>
      <c r="L56" s="16" t="s">
        <v>7</v>
      </c>
      <c r="M56" s="15" t="s">
        <v>8</v>
      </c>
      <c r="N56" s="16" t="s">
        <v>9</v>
      </c>
      <c r="O56" s="16" t="s">
        <v>10</v>
      </c>
      <c r="P56" s="16" t="s">
        <v>11</v>
      </c>
      <c r="Q56" s="16" t="s">
        <v>12</v>
      </c>
      <c r="R56" s="16" t="s">
        <v>13</v>
      </c>
      <c r="S56" s="16" t="s">
        <v>14</v>
      </c>
      <c r="T56" s="15" t="s">
        <v>15</v>
      </c>
      <c r="V56" s="22" t="s">
        <v>31</v>
      </c>
      <c r="W56" s="22">
        <v>0</v>
      </c>
      <c r="X56" s="22">
        <v>0</v>
      </c>
      <c r="AB56" s="33" t="s">
        <v>31</v>
      </c>
      <c r="AC56" s="33" t="s">
        <v>35</v>
      </c>
    </row>
    <row r="57" spans="5:29" ht="15.75" x14ac:dyDescent="0.25">
      <c r="E57" s="17" t="s">
        <v>16</v>
      </c>
      <c r="F57" s="19">
        <v>0</v>
      </c>
      <c r="G57" s="17">
        <v>0</v>
      </c>
      <c r="H57" s="21">
        <f>1/3</f>
        <v>0.33333333333333331</v>
      </c>
      <c r="I57" s="17">
        <f>1/3</f>
        <v>0.33333333333333331</v>
      </c>
      <c r="J57" s="17">
        <f>1/3</f>
        <v>0.33333333333333331</v>
      </c>
      <c r="K57" s="17">
        <f>1/3</f>
        <v>0.33333333333333331</v>
      </c>
      <c r="L57" s="17">
        <f>1/3</f>
        <v>0.33333333333333331</v>
      </c>
      <c r="M57" s="20">
        <f>2/3</f>
        <v>0.66666666666666663</v>
      </c>
      <c r="N57" s="19">
        <f>2/3</f>
        <v>0.66666666666666663</v>
      </c>
      <c r="O57" s="19">
        <f>2/3</f>
        <v>0.66666666666666663</v>
      </c>
      <c r="P57" s="19">
        <f>2/3</f>
        <v>0.66666666666666663</v>
      </c>
      <c r="Q57" s="19">
        <f>2/3</f>
        <v>0.66666666666666663</v>
      </c>
      <c r="R57" s="19">
        <f>2/3</f>
        <v>0.66666666666666663</v>
      </c>
      <c r="S57" s="19">
        <f>2/3</f>
        <v>0.66666666666666663</v>
      </c>
      <c r="T57" s="20">
        <f>3/3</f>
        <v>1</v>
      </c>
      <c r="V57" s="22" t="s">
        <v>32</v>
      </c>
      <c r="W57" s="22">
        <v>0</v>
      </c>
      <c r="X57" s="22">
        <v>0</v>
      </c>
      <c r="AB57" s="33" t="s">
        <v>32</v>
      </c>
      <c r="AC57" s="33" t="s">
        <v>35</v>
      </c>
    </row>
    <row r="58" spans="5:29" ht="15.75" x14ac:dyDescent="0.25">
      <c r="E58" s="17" t="s">
        <v>17</v>
      </c>
      <c r="F58" s="17">
        <v>0</v>
      </c>
      <c r="G58" s="17">
        <f>0/2</f>
        <v>0</v>
      </c>
      <c r="H58" s="17">
        <f>1/3</f>
        <v>0.33333333333333331</v>
      </c>
      <c r="I58" s="17">
        <f>1/4</f>
        <v>0.25</v>
      </c>
      <c r="J58" s="17">
        <f>1/5</f>
        <v>0.2</v>
      </c>
      <c r="K58" s="19">
        <f>1/6</f>
        <v>0.16666666666666666</v>
      </c>
      <c r="L58" s="17">
        <f>1/7</f>
        <v>0.14285714285714285</v>
      </c>
      <c r="M58" s="19">
        <f>2/8</f>
        <v>0.25</v>
      </c>
      <c r="N58" s="19">
        <f>2/9</f>
        <v>0.22222222222222221</v>
      </c>
      <c r="O58" s="19">
        <f>2/10</f>
        <v>0.2</v>
      </c>
      <c r="P58" s="19">
        <f>2/11</f>
        <v>0.18181818181818182</v>
      </c>
      <c r="Q58" s="19">
        <f>2/12</f>
        <v>0.16666666666666666</v>
      </c>
      <c r="R58" s="19">
        <f>2/13</f>
        <v>0.15384615384615385</v>
      </c>
      <c r="S58" s="19">
        <f>2/14</f>
        <v>0.14285714285714285</v>
      </c>
      <c r="T58" s="19">
        <f>3/15</f>
        <v>0.2</v>
      </c>
      <c r="V58" s="22" t="s">
        <v>33</v>
      </c>
      <c r="W58" s="22">
        <f>H58</f>
        <v>0.33333333333333331</v>
      </c>
      <c r="X58" s="22">
        <f>H58</f>
        <v>0.33333333333333331</v>
      </c>
      <c r="AB58" s="33" t="s">
        <v>33</v>
      </c>
      <c r="AC58" s="33" t="s">
        <v>36</v>
      </c>
    </row>
    <row r="59" spans="5:29" ht="15.75" x14ac:dyDescent="0.25">
      <c r="V59" s="22" t="s">
        <v>34</v>
      </c>
      <c r="W59" s="22">
        <v>0</v>
      </c>
      <c r="X59" s="22">
        <v>0</v>
      </c>
      <c r="AB59" s="33" t="s">
        <v>34</v>
      </c>
      <c r="AC59" s="33" t="s">
        <v>36</v>
      </c>
    </row>
    <row r="60" spans="5:29" ht="15.75" x14ac:dyDescent="0.25">
      <c r="R60" s="18" t="s">
        <v>19</v>
      </c>
      <c r="S60" s="18">
        <f>AVERAGE(H58,M58,T58)</f>
        <v>0.26111111111111107</v>
      </c>
      <c r="V60" s="22" t="s">
        <v>26</v>
      </c>
      <c r="W60" s="22">
        <v>0</v>
      </c>
      <c r="X60" s="22">
        <v>0</v>
      </c>
      <c r="AB60" s="33" t="s">
        <v>26</v>
      </c>
      <c r="AC60" s="33" t="s">
        <v>36</v>
      </c>
    </row>
    <row r="61" spans="5:29" ht="15.75" x14ac:dyDescent="0.25">
      <c r="V61" s="17" t="s">
        <v>25</v>
      </c>
      <c r="W61" s="17">
        <v>0</v>
      </c>
      <c r="X61" s="17">
        <v>0</v>
      </c>
      <c r="AB61" s="33" t="s">
        <v>25</v>
      </c>
      <c r="AC61" s="33" t="s">
        <v>36</v>
      </c>
    </row>
    <row r="67" spans="15:23" x14ac:dyDescent="0.25">
      <c r="O67"/>
    </row>
    <row r="75" spans="15:23" x14ac:dyDescent="0.25">
      <c r="V75" s="28"/>
      <c r="W75" s="28"/>
    </row>
    <row r="76" spans="15:23" x14ac:dyDescent="0.25">
      <c r="V76" s="28"/>
      <c r="W76" s="28"/>
    </row>
    <row r="77" spans="15:23" x14ac:dyDescent="0.25">
      <c r="V77" s="29"/>
      <c r="W77" s="29"/>
    </row>
    <row r="80" spans="15:23" x14ac:dyDescent="0.25">
      <c r="P80"/>
    </row>
    <row r="82" spans="10:28" x14ac:dyDescent="0.25">
      <c r="W82"/>
    </row>
    <row r="84" spans="10:28" x14ac:dyDescent="0.25">
      <c r="Y84"/>
    </row>
    <row r="88" spans="10:28" x14ac:dyDescent="0.25">
      <c r="AB88"/>
    </row>
    <row r="93" spans="10:28" ht="15.75" thickBot="1" x14ac:dyDescent="0.3"/>
    <row r="94" spans="10:28" x14ac:dyDescent="0.25">
      <c r="J94" s="2"/>
      <c r="K94" s="3"/>
      <c r="L94" s="3"/>
      <c r="M94" s="3"/>
      <c r="N94" s="4"/>
    </row>
    <row r="95" spans="10:28" ht="24" x14ac:dyDescent="0.4">
      <c r="J95" s="5"/>
      <c r="K95" s="6"/>
      <c r="L95" s="7" t="s">
        <v>38</v>
      </c>
      <c r="M95" s="6"/>
      <c r="N95" s="8"/>
    </row>
    <row r="96" spans="10:28" ht="15.75" thickBot="1" x14ac:dyDescent="0.3">
      <c r="J96" s="9"/>
      <c r="K96" s="10"/>
      <c r="L96" s="10"/>
      <c r="M96" s="10"/>
      <c r="N96" s="11"/>
    </row>
    <row r="97" spans="5:25" ht="15.75" x14ac:dyDescent="0.25">
      <c r="F97" s="18" t="s">
        <v>21</v>
      </c>
      <c r="G97" s="14">
        <v>10</v>
      </c>
    </row>
    <row r="98" spans="5:25" ht="15.75" x14ac:dyDescent="0.25">
      <c r="F98" s="18" t="s">
        <v>20</v>
      </c>
      <c r="G98" s="13">
        <v>15</v>
      </c>
    </row>
    <row r="101" spans="5:25" ht="15.75" x14ac:dyDescent="0.25">
      <c r="V101" s="30" t="s">
        <v>23</v>
      </c>
      <c r="W101" s="31" t="s">
        <v>22</v>
      </c>
      <c r="X101" s="30" t="s">
        <v>24</v>
      </c>
      <c r="Y101" s="23"/>
    </row>
    <row r="102" spans="5:25" ht="15.75" x14ac:dyDescent="0.25">
      <c r="V102" s="22" t="s">
        <v>18</v>
      </c>
      <c r="W102" s="22">
        <v>0</v>
      </c>
      <c r="X102" s="22">
        <v>0</v>
      </c>
      <c r="Y102" s="23"/>
    </row>
    <row r="103" spans="5:25" ht="15.75" x14ac:dyDescent="0.25">
      <c r="V103" s="22" t="s">
        <v>27</v>
      </c>
      <c r="W103" s="22">
        <v>0</v>
      </c>
      <c r="X103" s="22">
        <v>0</v>
      </c>
      <c r="Y103" s="23"/>
    </row>
    <row r="104" spans="5:25" ht="15.75" x14ac:dyDescent="0.25">
      <c r="V104" s="22" t="s">
        <v>28</v>
      </c>
      <c r="W104" s="22">
        <v>0</v>
      </c>
      <c r="X104" s="22">
        <v>0</v>
      </c>
      <c r="Y104" s="23"/>
    </row>
    <row r="105" spans="5:25" ht="15.75" x14ac:dyDescent="0.25">
      <c r="V105" s="22" t="s">
        <v>29</v>
      </c>
      <c r="W105" s="22">
        <v>0</v>
      </c>
      <c r="X105" s="22">
        <v>0</v>
      </c>
      <c r="Y105" s="23"/>
    </row>
    <row r="106" spans="5:25" ht="15.75" x14ac:dyDescent="0.25">
      <c r="F106" s="37">
        <v>1</v>
      </c>
      <c r="G106" s="37">
        <v>2</v>
      </c>
      <c r="H106" s="37">
        <v>3</v>
      </c>
      <c r="I106" s="37">
        <v>4</v>
      </c>
      <c r="J106" s="37">
        <v>5</v>
      </c>
      <c r="K106" s="37">
        <v>6</v>
      </c>
      <c r="L106" s="37">
        <v>7</v>
      </c>
      <c r="M106" s="37">
        <v>8</v>
      </c>
      <c r="N106" s="37">
        <v>9</v>
      </c>
      <c r="O106" s="37">
        <v>10</v>
      </c>
      <c r="P106" s="37">
        <v>11</v>
      </c>
      <c r="Q106" s="37">
        <v>12</v>
      </c>
      <c r="R106" s="37">
        <v>13</v>
      </c>
      <c r="S106" s="37">
        <v>14</v>
      </c>
      <c r="T106" s="37">
        <v>15</v>
      </c>
      <c r="V106" s="22" t="s">
        <v>30</v>
      </c>
      <c r="W106" s="22">
        <v>0</v>
      </c>
      <c r="X106" s="22">
        <v>0</v>
      </c>
      <c r="Y106" s="23"/>
    </row>
    <row r="107" spans="5:25" ht="15.75" x14ac:dyDescent="0.25">
      <c r="F107" s="42" t="s">
        <v>2</v>
      </c>
      <c r="G107" s="15" t="s">
        <v>10</v>
      </c>
      <c r="H107" s="42" t="s">
        <v>4</v>
      </c>
      <c r="I107" s="15" t="s">
        <v>3</v>
      </c>
      <c r="J107" s="42" t="s">
        <v>5</v>
      </c>
      <c r="K107" s="15" t="s">
        <v>6</v>
      </c>
      <c r="L107" s="42" t="s">
        <v>7</v>
      </c>
      <c r="M107" s="42" t="s">
        <v>8</v>
      </c>
      <c r="N107" s="42" t="s">
        <v>9</v>
      </c>
      <c r="O107" s="15" t="s">
        <v>1</v>
      </c>
      <c r="P107" s="42" t="s">
        <v>11</v>
      </c>
      <c r="Q107" s="42" t="s">
        <v>12</v>
      </c>
      <c r="R107" s="42" t="s">
        <v>13</v>
      </c>
      <c r="S107" s="42" t="s">
        <v>14</v>
      </c>
      <c r="T107" s="42" t="s">
        <v>39</v>
      </c>
      <c r="V107" s="22" t="s">
        <v>31</v>
      </c>
      <c r="W107" s="22">
        <v>0</v>
      </c>
      <c r="X107" s="22">
        <v>0</v>
      </c>
      <c r="Y107" s="23"/>
    </row>
    <row r="108" spans="5:25" ht="15.75" x14ac:dyDescent="0.25">
      <c r="E108" s="17" t="s">
        <v>16</v>
      </c>
      <c r="F108" s="41">
        <f>0/10</f>
        <v>0</v>
      </c>
      <c r="G108" s="40">
        <f>1/10</f>
        <v>0.1</v>
      </c>
      <c r="H108" s="39">
        <f>1/10</f>
        <v>0.1</v>
      </c>
      <c r="I108" s="40">
        <f>2/10</f>
        <v>0.2</v>
      </c>
      <c r="J108" s="39">
        <f>2/10</f>
        <v>0.2</v>
      </c>
      <c r="K108" s="40">
        <f>3/10</f>
        <v>0.3</v>
      </c>
      <c r="L108" s="39">
        <f>3/10</f>
        <v>0.3</v>
      </c>
      <c r="M108" s="41">
        <f>3/10</f>
        <v>0.3</v>
      </c>
      <c r="N108" s="41">
        <f>3/10</f>
        <v>0.3</v>
      </c>
      <c r="O108" s="38">
        <f>4/10</f>
        <v>0.4</v>
      </c>
      <c r="P108" s="41">
        <f>4/10</f>
        <v>0.4</v>
      </c>
      <c r="Q108" s="41">
        <f>4/10</f>
        <v>0.4</v>
      </c>
      <c r="R108" s="41">
        <f>4/10</f>
        <v>0.4</v>
      </c>
      <c r="S108" s="41">
        <f>4/10</f>
        <v>0.4</v>
      </c>
      <c r="T108" s="41">
        <f>4/10</f>
        <v>0.4</v>
      </c>
      <c r="V108" s="22" t="s">
        <v>32</v>
      </c>
      <c r="W108" s="22">
        <f>O109</f>
        <v>0.4</v>
      </c>
      <c r="X108" s="22">
        <f>O109</f>
        <v>0.4</v>
      </c>
      <c r="Y108" s="23"/>
    </row>
    <row r="109" spans="5:25" ht="15.75" x14ac:dyDescent="0.25">
      <c r="E109" s="17" t="s">
        <v>17</v>
      </c>
      <c r="F109" s="39">
        <f>0/1</f>
        <v>0</v>
      </c>
      <c r="G109" s="39">
        <f>1/2</f>
        <v>0.5</v>
      </c>
      <c r="H109" s="39">
        <f>1/3</f>
        <v>0.33333333333333331</v>
      </c>
      <c r="I109" s="39">
        <f>2/4</f>
        <v>0.5</v>
      </c>
      <c r="J109" s="39">
        <f>2/5</f>
        <v>0.4</v>
      </c>
      <c r="K109" s="41">
        <f>3/6</f>
        <v>0.5</v>
      </c>
      <c r="L109" s="39">
        <f>3/7</f>
        <v>0.42857142857142855</v>
      </c>
      <c r="M109" s="41">
        <f>3/8</f>
        <v>0.375</v>
      </c>
      <c r="N109" s="41">
        <f>3/9</f>
        <v>0.33333333333333331</v>
      </c>
      <c r="O109" s="41">
        <f>4/10</f>
        <v>0.4</v>
      </c>
      <c r="P109" s="41">
        <f>4/11</f>
        <v>0.36363636363636365</v>
      </c>
      <c r="Q109" s="41">
        <f>4/12</f>
        <v>0.33333333333333331</v>
      </c>
      <c r="R109" s="41">
        <f>4/13</f>
        <v>0.30769230769230771</v>
      </c>
      <c r="S109" s="41">
        <f>4/14</f>
        <v>0.2857142857142857</v>
      </c>
      <c r="T109" s="41">
        <f>4/15</f>
        <v>0.26666666666666666</v>
      </c>
      <c r="V109" s="22" t="s">
        <v>33</v>
      </c>
      <c r="W109" s="22">
        <f>K109</f>
        <v>0.5</v>
      </c>
      <c r="X109" s="22">
        <f>K109</f>
        <v>0.5</v>
      </c>
      <c r="Y109" s="23"/>
    </row>
    <row r="110" spans="5:25" ht="15.75" x14ac:dyDescent="0.25">
      <c r="V110" s="22" t="s">
        <v>34</v>
      </c>
      <c r="W110" s="22">
        <f>I109</f>
        <v>0.5</v>
      </c>
      <c r="X110" s="22">
        <f>I109</f>
        <v>0.5</v>
      </c>
      <c r="Y110" s="23"/>
    </row>
    <row r="111" spans="5:25" ht="15.75" x14ac:dyDescent="0.25">
      <c r="R111" s="18" t="s">
        <v>19</v>
      </c>
      <c r="S111" s="32">
        <f>AVERAGE(G109,I109,K109,O109)</f>
        <v>0.47499999999999998</v>
      </c>
      <c r="V111" s="22" t="s">
        <v>26</v>
      </c>
      <c r="W111" s="22">
        <f>G109</f>
        <v>0.5</v>
      </c>
      <c r="X111" s="22">
        <f>G109</f>
        <v>0.5</v>
      </c>
      <c r="Y111" s="23"/>
    </row>
    <row r="112" spans="5:25" ht="15.75" x14ac:dyDescent="0.25">
      <c r="V112" s="17" t="s">
        <v>25</v>
      </c>
      <c r="W112" s="17">
        <v>0</v>
      </c>
      <c r="X112" s="17">
        <f>G109</f>
        <v>0.5</v>
      </c>
    </row>
    <row r="116" spans="11:23" x14ac:dyDescent="0.25">
      <c r="V116" s="27"/>
      <c r="W116" s="27"/>
    </row>
    <row r="117" spans="11:23" x14ac:dyDescent="0.25">
      <c r="V117" s="28"/>
      <c r="W117" s="28"/>
    </row>
    <row r="118" spans="11:23" x14ac:dyDescent="0.25">
      <c r="K118"/>
      <c r="L118"/>
      <c r="O118"/>
      <c r="V118" s="28"/>
      <c r="W118" s="28"/>
    </row>
    <row r="119" spans="11:23" x14ac:dyDescent="0.25">
      <c r="V119" s="28"/>
      <c r="W119" s="28"/>
    </row>
    <row r="120" spans="11:23" x14ac:dyDescent="0.25">
      <c r="K120"/>
      <c r="V120" s="28"/>
      <c r="W120" s="28"/>
    </row>
    <row r="121" spans="11:23" x14ac:dyDescent="0.25">
      <c r="V121" s="28"/>
      <c r="W121" s="28"/>
    </row>
    <row r="122" spans="11:23" x14ac:dyDescent="0.25">
      <c r="V122" s="28"/>
      <c r="W122" s="28"/>
    </row>
    <row r="123" spans="11:23" x14ac:dyDescent="0.25">
      <c r="V123" s="28"/>
      <c r="W123" s="28"/>
    </row>
    <row r="124" spans="11:23" x14ac:dyDescent="0.25">
      <c r="V124" s="28"/>
      <c r="W124" s="28"/>
    </row>
    <row r="125" spans="11:23" x14ac:dyDescent="0.25">
      <c r="V125" s="28"/>
      <c r="W125" s="28"/>
    </row>
    <row r="126" spans="11:23" x14ac:dyDescent="0.25">
      <c r="V126" s="28"/>
      <c r="W126" s="28"/>
    </row>
    <row r="127" spans="11:23" x14ac:dyDescent="0.25">
      <c r="V127" s="28"/>
      <c r="W127" s="28"/>
    </row>
    <row r="128" spans="11:23" x14ac:dyDescent="0.25">
      <c r="V128" s="29"/>
      <c r="W128" s="29"/>
    </row>
    <row r="137" spans="6:29" ht="15.75" x14ac:dyDescent="0.25">
      <c r="F137" s="18" t="s">
        <v>21</v>
      </c>
      <c r="G137" s="14">
        <v>3</v>
      </c>
    </row>
    <row r="138" spans="6:29" ht="15.75" x14ac:dyDescent="0.25">
      <c r="F138" s="18" t="s">
        <v>20</v>
      </c>
      <c r="G138" s="13">
        <v>15</v>
      </c>
    </row>
    <row r="141" spans="6:29" ht="15.75" x14ac:dyDescent="0.25">
      <c r="V141" s="35" t="s">
        <v>23</v>
      </c>
      <c r="W141" s="36" t="s">
        <v>22</v>
      </c>
      <c r="X141" s="35" t="s">
        <v>24</v>
      </c>
      <c r="AB141" s="34" t="s">
        <v>23</v>
      </c>
      <c r="AC141" s="34" t="s">
        <v>37</v>
      </c>
    </row>
    <row r="142" spans="6:29" ht="15.75" x14ac:dyDescent="0.25">
      <c r="V142" s="22" t="s">
        <v>18</v>
      </c>
      <c r="W142" s="22">
        <f>T149</f>
        <v>0.2</v>
      </c>
      <c r="X142" s="22">
        <f>T149</f>
        <v>0.2</v>
      </c>
      <c r="AB142" s="33" t="s">
        <v>18</v>
      </c>
      <c r="AC142" s="26" t="s">
        <v>34</v>
      </c>
    </row>
    <row r="143" spans="6:29" ht="15.75" x14ac:dyDescent="0.25">
      <c r="V143" s="22" t="s">
        <v>27</v>
      </c>
      <c r="W143" s="22">
        <v>0</v>
      </c>
      <c r="X143" s="22">
        <f>T149</f>
        <v>0.2</v>
      </c>
      <c r="AB143" s="33" t="s">
        <v>27</v>
      </c>
      <c r="AC143" s="26" t="s">
        <v>34</v>
      </c>
    </row>
    <row r="144" spans="6:29" ht="15.75" x14ac:dyDescent="0.25">
      <c r="V144" s="22" t="s">
        <v>28</v>
      </c>
      <c r="W144" s="22">
        <v>0</v>
      </c>
      <c r="X144" s="22">
        <v>0</v>
      </c>
      <c r="AB144" s="33" t="s">
        <v>28</v>
      </c>
      <c r="AC144" s="26" t="s">
        <v>34</v>
      </c>
    </row>
    <row r="145" spans="5:29" ht="15.75" x14ac:dyDescent="0.25">
      <c r="V145" s="22" t="s">
        <v>29</v>
      </c>
      <c r="W145" s="22">
        <v>0</v>
      </c>
      <c r="X145" s="22">
        <v>0</v>
      </c>
      <c r="AB145" s="33" t="s">
        <v>29</v>
      </c>
      <c r="AC145" s="26" t="s">
        <v>34</v>
      </c>
    </row>
    <row r="146" spans="5:29" ht="15.75" x14ac:dyDescent="0.25">
      <c r="F146" s="12">
        <v>1</v>
      </c>
      <c r="G146" s="12">
        <v>2</v>
      </c>
      <c r="H146" s="12">
        <v>3</v>
      </c>
      <c r="I146" s="12">
        <v>4</v>
      </c>
      <c r="J146" s="12">
        <v>5</v>
      </c>
      <c r="K146" s="12">
        <v>6</v>
      </c>
      <c r="L146" s="12">
        <v>7</v>
      </c>
      <c r="M146" s="12">
        <v>8</v>
      </c>
      <c r="N146" s="12">
        <v>9</v>
      </c>
      <c r="O146" s="12">
        <v>10</v>
      </c>
      <c r="P146" s="12">
        <v>11</v>
      </c>
      <c r="Q146" s="12">
        <v>12</v>
      </c>
      <c r="R146" s="12">
        <v>13</v>
      </c>
      <c r="S146" s="12">
        <v>14</v>
      </c>
      <c r="T146" s="12">
        <v>15</v>
      </c>
      <c r="V146" s="22" t="s">
        <v>30</v>
      </c>
      <c r="W146" s="22">
        <v>0</v>
      </c>
      <c r="X146" s="22">
        <f>M149</f>
        <v>0.25</v>
      </c>
      <c r="AB146" s="33" t="s">
        <v>30</v>
      </c>
      <c r="AC146" s="26" t="s">
        <v>35</v>
      </c>
    </row>
    <row r="147" spans="5:29" ht="15.75" x14ac:dyDescent="0.25">
      <c r="F147" s="42" t="s">
        <v>1</v>
      </c>
      <c r="G147" s="42" t="s">
        <v>2</v>
      </c>
      <c r="H147" s="15" t="s">
        <v>3</v>
      </c>
      <c r="I147" s="42" t="s">
        <v>4</v>
      </c>
      <c r="J147" s="42" t="s">
        <v>5</v>
      </c>
      <c r="K147" s="42" t="s">
        <v>6</v>
      </c>
      <c r="L147" s="42" t="s">
        <v>7</v>
      </c>
      <c r="M147" s="15" t="s">
        <v>8</v>
      </c>
      <c r="N147" s="42" t="s">
        <v>9</v>
      </c>
      <c r="O147" s="42" t="s">
        <v>10</v>
      </c>
      <c r="P147" s="42" t="s">
        <v>11</v>
      </c>
      <c r="Q147" s="42" t="s">
        <v>12</v>
      </c>
      <c r="R147" s="42" t="s">
        <v>13</v>
      </c>
      <c r="S147" s="42" t="s">
        <v>14</v>
      </c>
      <c r="T147" s="15" t="s">
        <v>15</v>
      </c>
      <c r="V147" s="22" t="s">
        <v>31</v>
      </c>
      <c r="W147" s="22">
        <v>0</v>
      </c>
      <c r="X147" s="22">
        <v>0</v>
      </c>
      <c r="AB147" s="33" t="s">
        <v>31</v>
      </c>
      <c r="AC147" s="26" t="s">
        <v>35</v>
      </c>
    </row>
    <row r="148" spans="5:29" ht="15.75" x14ac:dyDescent="0.25">
      <c r="E148" s="17" t="s">
        <v>16</v>
      </c>
      <c r="F148" s="19">
        <f>0/3</f>
        <v>0</v>
      </c>
      <c r="G148" s="17">
        <f>0/3</f>
        <v>0</v>
      </c>
      <c r="H148" s="21">
        <f>1/3</f>
        <v>0.33333333333333331</v>
      </c>
      <c r="I148" s="17">
        <f>1/3</f>
        <v>0.33333333333333331</v>
      </c>
      <c r="J148" s="17">
        <f>1/3</f>
        <v>0.33333333333333331</v>
      </c>
      <c r="K148" s="17">
        <f>1/3</f>
        <v>0.33333333333333331</v>
      </c>
      <c r="L148" s="17">
        <f>1/3</f>
        <v>0.33333333333333331</v>
      </c>
      <c r="M148" s="20">
        <f>2/3</f>
        <v>0.66666666666666663</v>
      </c>
      <c r="N148" s="19">
        <f>2/3</f>
        <v>0.66666666666666663</v>
      </c>
      <c r="O148" s="19">
        <f>2/3</f>
        <v>0.66666666666666663</v>
      </c>
      <c r="P148" s="19">
        <f>2/3</f>
        <v>0.66666666666666663</v>
      </c>
      <c r="Q148" s="19">
        <f>2/3</f>
        <v>0.66666666666666663</v>
      </c>
      <c r="R148" s="19">
        <f>2/3</f>
        <v>0.66666666666666663</v>
      </c>
      <c r="S148" s="19">
        <f>2/3</f>
        <v>0.66666666666666663</v>
      </c>
      <c r="T148" s="20">
        <f>3/3</f>
        <v>1</v>
      </c>
      <c r="V148" s="22" t="s">
        <v>32</v>
      </c>
      <c r="W148" s="22">
        <v>0</v>
      </c>
      <c r="X148" s="22">
        <v>0</v>
      </c>
      <c r="AB148" s="33" t="s">
        <v>32</v>
      </c>
      <c r="AC148" s="26" t="s">
        <v>35</v>
      </c>
    </row>
    <row r="149" spans="5:29" ht="15.75" x14ac:dyDescent="0.25">
      <c r="E149" s="17" t="s">
        <v>17</v>
      </c>
      <c r="F149" s="17">
        <f>0/1</f>
        <v>0</v>
      </c>
      <c r="G149" s="17">
        <f>0/2</f>
        <v>0</v>
      </c>
      <c r="H149" s="17">
        <f>1/3</f>
        <v>0.33333333333333331</v>
      </c>
      <c r="I149" s="17">
        <f>1/4</f>
        <v>0.25</v>
      </c>
      <c r="J149" s="17">
        <f>1/5</f>
        <v>0.2</v>
      </c>
      <c r="K149" s="19">
        <f>1/6</f>
        <v>0.16666666666666666</v>
      </c>
      <c r="L149" s="17">
        <f>1/7</f>
        <v>0.14285714285714285</v>
      </c>
      <c r="M149" s="19">
        <f>2/8</f>
        <v>0.25</v>
      </c>
      <c r="N149" s="19">
        <f>2/9</f>
        <v>0.22222222222222221</v>
      </c>
      <c r="O149" s="19">
        <f>2/10</f>
        <v>0.2</v>
      </c>
      <c r="P149" s="19">
        <f>2/11</f>
        <v>0.18181818181818182</v>
      </c>
      <c r="Q149" s="19">
        <f>2/12</f>
        <v>0.16666666666666666</v>
      </c>
      <c r="R149" s="19">
        <f>2/13</f>
        <v>0.15384615384615385</v>
      </c>
      <c r="S149" s="19">
        <f>2/14</f>
        <v>0.14285714285714285</v>
      </c>
      <c r="T149" s="19">
        <f>3/15</f>
        <v>0.2</v>
      </c>
      <c r="V149" s="22" t="s">
        <v>33</v>
      </c>
      <c r="W149" s="22">
        <v>0</v>
      </c>
      <c r="X149" s="22">
        <f>H149</f>
        <v>0.33333333333333331</v>
      </c>
      <c r="AB149" s="33" t="s">
        <v>33</v>
      </c>
      <c r="AC149" s="26" t="s">
        <v>36</v>
      </c>
    </row>
    <row r="150" spans="5:29" ht="15.75" x14ac:dyDescent="0.25">
      <c r="V150" s="22" t="s">
        <v>34</v>
      </c>
      <c r="W150" s="22">
        <v>0</v>
      </c>
      <c r="X150" s="22">
        <v>0</v>
      </c>
      <c r="AB150" s="33" t="s">
        <v>34</v>
      </c>
      <c r="AC150" s="26" t="s">
        <v>36</v>
      </c>
    </row>
    <row r="151" spans="5:29" ht="15.75" x14ac:dyDescent="0.25">
      <c r="R151" s="18" t="s">
        <v>19</v>
      </c>
      <c r="S151" s="18">
        <f>AVERAGE(H149,M149,T149)</f>
        <v>0.26111111111111107</v>
      </c>
      <c r="V151" s="22" t="s">
        <v>26</v>
      </c>
      <c r="W151" s="22">
        <v>0</v>
      </c>
      <c r="X151" s="22">
        <v>0</v>
      </c>
      <c r="AB151" s="33" t="s">
        <v>26</v>
      </c>
      <c r="AC151" s="26" t="s">
        <v>36</v>
      </c>
    </row>
    <row r="152" spans="5:29" ht="15.75" x14ac:dyDescent="0.25">
      <c r="V152" s="17" t="s">
        <v>25</v>
      </c>
      <c r="W152" s="17">
        <v>0</v>
      </c>
      <c r="X152" s="17">
        <v>0</v>
      </c>
      <c r="AB152" s="33" t="s">
        <v>25</v>
      </c>
      <c r="AC152" s="26" t="s">
        <v>36</v>
      </c>
    </row>
    <row r="158" spans="5:29" x14ac:dyDescent="0.25">
      <c r="M158"/>
      <c r="O158"/>
      <c r="V158" s="24"/>
      <c r="W158" s="24"/>
    </row>
    <row r="159" spans="5:29" x14ac:dyDescent="0.25">
      <c r="V159" s="25"/>
    </row>
    <row r="160" spans="5:29" x14ac:dyDescent="0.25">
      <c r="V160" s="25"/>
    </row>
    <row r="161" spans="9:25" x14ac:dyDescent="0.25">
      <c r="V161" s="25"/>
    </row>
    <row r="162" spans="9:25" x14ac:dyDescent="0.25">
      <c r="V162" s="25"/>
    </row>
    <row r="163" spans="9:25" x14ac:dyDescent="0.25">
      <c r="V163" s="25"/>
    </row>
    <row r="164" spans="9:25" x14ac:dyDescent="0.25">
      <c r="V164" s="25"/>
    </row>
    <row r="165" spans="9:25" x14ac:dyDescent="0.25">
      <c r="V165" s="25"/>
    </row>
    <row r="166" spans="9:25" x14ac:dyDescent="0.25">
      <c r="V166" s="25"/>
    </row>
    <row r="167" spans="9:25" x14ac:dyDescent="0.25">
      <c r="V167" s="25"/>
    </row>
    <row r="168" spans="9:25" x14ac:dyDescent="0.25">
      <c r="V168" s="25"/>
    </row>
    <row r="169" spans="9:25" x14ac:dyDescent="0.25">
      <c r="V169" s="25"/>
    </row>
    <row r="171" spans="9:25" x14ac:dyDescent="0.25">
      <c r="I171"/>
      <c r="P171"/>
    </row>
    <row r="173" spans="9:25" x14ac:dyDescent="0.25">
      <c r="W173"/>
    </row>
    <row r="175" spans="9:25" x14ac:dyDescent="0.25">
      <c r="Y17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LEONARDUS DALE MASAN</dc:creator>
  <cp:lastModifiedBy>LEONARDUS DALE MASAN</cp:lastModifiedBy>
  <dcterms:created xsi:type="dcterms:W3CDTF">2026-03-12T11:04:27Z</dcterms:created>
  <dcterms:modified xsi:type="dcterms:W3CDTF">2026-03-12T16:56:40Z</dcterms:modified>
</cp:coreProperties>
</file>