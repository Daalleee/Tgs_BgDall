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lleno\Dokumen\TUGAS SEMESTER 6\PI\"/>
    </mc:Choice>
  </mc:AlternateContent>
  <xr:revisionPtr revIDLastSave="0" documentId="13_ncr:1_{B49B7A44-CEC4-4F74-B8F1-2AFBDAACE2C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wALvjZCYsX2cWX8IHmbvbhi55zFB85tcfv0mgEn7AQ="/>
    </ext>
  </extLst>
</workbook>
</file>

<file path=xl/calcChain.xml><?xml version="1.0" encoding="utf-8"?>
<calcChain xmlns="http://schemas.openxmlformats.org/spreadsheetml/2006/main">
  <c r="Q184" i="1" l="1"/>
  <c r="Q183" i="1"/>
  <c r="Q181" i="1"/>
  <c r="Q182" i="1"/>
  <c r="Q180" i="1"/>
  <c r="Q185" i="1"/>
  <c r="Q186" i="1"/>
  <c r="Q187" i="1"/>
  <c r="Q188" i="1"/>
  <c r="Q189" i="1"/>
  <c r="Q190" i="1"/>
  <c r="P183" i="1"/>
  <c r="P182" i="1"/>
  <c r="P181" i="1"/>
  <c r="P180" i="1"/>
  <c r="P184" i="1"/>
  <c r="P185" i="1"/>
  <c r="P186" i="1"/>
  <c r="P187" i="1"/>
  <c r="P188" i="1"/>
  <c r="P189" i="1"/>
  <c r="P190" i="1"/>
  <c r="O180" i="1"/>
  <c r="O181" i="1"/>
  <c r="O182" i="1"/>
  <c r="O183" i="1"/>
  <c r="O184" i="1"/>
  <c r="O185" i="1"/>
  <c r="O186" i="1"/>
  <c r="O187" i="1"/>
  <c r="O188" i="1"/>
  <c r="O189" i="1"/>
  <c r="O190" i="1"/>
  <c r="F184" i="1"/>
  <c r="F183" i="1"/>
  <c r="F182" i="1"/>
  <c r="F181" i="1"/>
  <c r="S111" i="1"/>
  <c r="S60" i="1"/>
  <c r="S69" i="1"/>
  <c r="T73" i="1"/>
  <c r="T74" i="1"/>
  <c r="T75" i="1"/>
  <c r="T76" i="1"/>
  <c r="S72" i="1"/>
  <c r="T166" i="1"/>
  <c r="T165" i="1"/>
  <c r="T164" i="1"/>
  <c r="T163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S151" i="1" s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T109" i="1"/>
  <c r="S109" i="1"/>
  <c r="R109" i="1"/>
  <c r="Q109" i="1"/>
  <c r="P109" i="1"/>
  <c r="O109" i="1"/>
  <c r="S120" i="1" s="1"/>
  <c r="T120" i="1" s="1"/>
  <c r="N109" i="1"/>
  <c r="M109" i="1"/>
  <c r="L109" i="1"/>
  <c r="K109" i="1"/>
  <c r="S119" i="1" s="1"/>
  <c r="T119" i="1" s="1"/>
  <c r="J109" i="1"/>
  <c r="I109" i="1"/>
  <c r="S118" i="1" s="1"/>
  <c r="T118" i="1" s="1"/>
  <c r="H109" i="1"/>
  <c r="G109" i="1"/>
  <c r="F109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F191" i="1"/>
  <c r="E191" i="1"/>
  <c r="F190" i="1"/>
  <c r="E190" i="1"/>
  <c r="F189" i="1"/>
  <c r="E189" i="1"/>
  <c r="F188" i="1"/>
  <c r="E188" i="1"/>
  <c r="G188" i="1" s="1"/>
  <c r="E187" i="1"/>
  <c r="S27" i="1"/>
  <c r="S26" i="1"/>
  <c r="T18" i="1"/>
  <c r="S31" i="1" s="1"/>
  <c r="S18" i="1"/>
  <c r="R18" i="1"/>
  <c r="Q18" i="1"/>
  <c r="P18" i="1"/>
  <c r="O18" i="1"/>
  <c r="S30" i="1" s="1"/>
  <c r="N18" i="1"/>
  <c r="M18" i="1"/>
  <c r="L18" i="1"/>
  <c r="K18" i="1"/>
  <c r="S29" i="1" s="1"/>
  <c r="J18" i="1"/>
  <c r="I18" i="1"/>
  <c r="H18" i="1"/>
  <c r="S28" i="1" s="1"/>
  <c r="G18" i="1"/>
  <c r="S20" i="1" s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F187" i="1" l="1"/>
  <c r="T72" i="1"/>
  <c r="S71" i="1"/>
  <c r="T69" i="1"/>
  <c r="S68" i="1"/>
  <c r="S67" i="1"/>
  <c r="T68" i="1"/>
  <c r="G187" i="1"/>
  <c r="G191" i="1"/>
  <c r="G190" i="1"/>
  <c r="G189" i="1"/>
  <c r="S162" i="1"/>
  <c r="T162" i="1" s="1"/>
  <c r="S161" i="1"/>
  <c r="T161" i="1" s="1"/>
  <c r="S160" i="1"/>
  <c r="T160" i="1" s="1"/>
  <c r="S159" i="1"/>
  <c r="T159" i="1" s="1"/>
  <c r="S158" i="1"/>
  <c r="T158" i="1" s="1"/>
  <c r="S157" i="1"/>
  <c r="T157" i="1" s="1"/>
  <c r="S156" i="1"/>
  <c r="T156" i="1" s="1"/>
  <c r="S117" i="1"/>
  <c r="T117" i="1" s="1"/>
  <c r="S116" i="1"/>
  <c r="T116" i="1" s="1"/>
  <c r="E182" i="1"/>
  <c r="T27" i="1"/>
  <c r="E181" i="1"/>
  <c r="T26" i="1"/>
  <c r="T31" i="1"/>
  <c r="E186" i="1"/>
  <c r="T30" i="1"/>
  <c r="E185" i="1"/>
  <c r="T29" i="1"/>
  <c r="E184" i="1"/>
  <c r="G184" i="1" s="1"/>
  <c r="T28" i="1"/>
  <c r="E183" i="1"/>
  <c r="G183" i="1" s="1"/>
  <c r="T71" i="1" l="1"/>
  <c r="S70" i="1"/>
  <c r="F186" i="1"/>
  <c r="G186" i="1" s="1"/>
  <c r="T67" i="1"/>
  <c r="S66" i="1"/>
  <c r="G182" i="1"/>
  <c r="T70" i="1" l="1"/>
  <c r="F185" i="1"/>
  <c r="G185" i="1" s="1"/>
  <c r="T66" i="1"/>
  <c r="G181" i="1"/>
</calcChain>
</file>

<file path=xl/sharedStrings.xml><?xml version="1.0" encoding="utf-8"?>
<sst xmlns="http://schemas.openxmlformats.org/spreadsheetml/2006/main" count="102" uniqueCount="30">
  <si>
    <t>Algoritma 1</t>
  </si>
  <si>
    <t>Relevant</t>
  </si>
  <si>
    <t>Retrieved</t>
  </si>
  <si>
    <t>d123</t>
  </si>
  <si>
    <t>d84</t>
  </si>
  <si>
    <t>d56</t>
  </si>
  <si>
    <t>d6</t>
  </si>
  <si>
    <t>d8</t>
  </si>
  <si>
    <t>d9</t>
  </si>
  <si>
    <t>d511</t>
  </si>
  <si>
    <t>d129</t>
  </si>
  <si>
    <t>d187</t>
  </si>
  <si>
    <t>d25</t>
  </si>
  <si>
    <t>d38</t>
  </si>
  <si>
    <t>d48</t>
  </si>
  <si>
    <t>d250</t>
  </si>
  <si>
    <t>d113</t>
  </si>
  <si>
    <t>d3</t>
  </si>
  <si>
    <t>recall</t>
  </si>
  <si>
    <t>precis</t>
  </si>
  <si>
    <t>AvgPrec</t>
  </si>
  <si>
    <t>Recall</t>
  </si>
  <si>
    <t>Precision</t>
  </si>
  <si>
    <t>Max</t>
  </si>
  <si>
    <t>PQ1</t>
  </si>
  <si>
    <t>PQ2</t>
  </si>
  <si>
    <t>Algoritma 2</t>
  </si>
  <si>
    <t>d300</t>
  </si>
  <si>
    <t>AVG(A1)</t>
  </si>
  <si>
    <t>AVG(A2)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</si>
</sst>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</font>
    <font>
      <b/>
      <sz val="18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rgb="FFFF0000"/>
      <name val="Aptos Narrow"/>
    </font>
    <font>
      <b/>
      <sz val="11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1"/>
      <color rgb="FF000000"/>
      <name val="System-ui"/>
    </font>
    <font>
      <b/>
      <sz val="11"/>
      <color theme="1"/>
      <name val="Aptos Narrow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D94D8"/>
        <bgColor rgb="FF4D94D8"/>
      </patternFill>
    </fill>
    <fill>
      <patternFill patternType="solid">
        <fgColor rgb="FF84E291"/>
        <bgColor rgb="FF84E291"/>
      </patternFill>
    </fill>
    <fill>
      <patternFill patternType="solid">
        <fgColor rgb="FFBFBFBF"/>
        <bgColor rgb="FFBFBFBF"/>
      </patternFill>
    </fill>
    <fill>
      <patternFill patternType="solid">
        <fgColor rgb="FFE49EDD"/>
        <bgColor rgb="FFE49EDD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9" fontId="3" fillId="0" borderId="10" xfId="0" applyNumberFormat="1" applyFont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1" fillId="5" borderId="10" xfId="0" applyFont="1" applyFill="1" applyBorder="1"/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4" fontId="4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6" borderId="10" xfId="0" applyFont="1" applyFill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5" borderId="10" xfId="0" applyFont="1" applyFill="1" applyBorder="1" applyAlignment="1">
      <alignment horizontal="center" vertical="center"/>
    </xf>
    <xf numFmtId="0" fontId="6" fillId="5" borderId="10" xfId="0" applyFont="1" applyFill="1" applyBorder="1"/>
    <xf numFmtId="0" fontId="9" fillId="7" borderId="0" xfId="0" applyFont="1" applyFill="1"/>
    <xf numFmtId="0" fontId="1" fillId="8" borderId="10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4" fontId="4" fillId="8" borderId="10" xfId="0" applyNumberFormat="1" applyFont="1" applyFill="1" applyBorder="1" applyAlignment="1">
      <alignment horizontal="center"/>
    </xf>
    <xf numFmtId="4" fontId="5" fillId="8" borderId="10" xfId="0" applyNumberFormat="1" applyFont="1" applyFill="1" applyBorder="1" applyAlignment="1">
      <alignment horizontal="center"/>
    </xf>
    <xf numFmtId="0" fontId="1" fillId="7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/>
    </xf>
    <xf numFmtId="0" fontId="6" fillId="5" borderId="11" xfId="0" applyFont="1" applyFill="1" applyBorder="1"/>
    <xf numFmtId="0" fontId="3" fillId="5" borderId="11" xfId="0" applyFont="1" applyFill="1" applyBorder="1" applyAlignment="1">
      <alignment horizontal="center" vertical="center"/>
    </xf>
    <xf numFmtId="0" fontId="0" fillId="0" borderId="12" xfId="0" applyBorder="1"/>
    <xf numFmtId="4" fontId="0" fillId="0" borderId="12" xfId="0" applyNumberFormat="1" applyBorder="1"/>
    <xf numFmtId="0" fontId="3" fillId="0" borderId="13" xfId="0" applyFont="1" applyBorder="1" applyAlignment="1">
      <alignment horizontal="center"/>
    </xf>
    <xf numFmtId="10" fontId="10" fillId="0" borderId="12" xfId="0" applyNumberFormat="1" applyFont="1" applyBorder="1" applyAlignment="1">
      <alignment horizontal="center"/>
    </xf>
    <xf numFmtId="10" fontId="3" fillId="0" borderId="10" xfId="0" applyNumberFormat="1" applyFont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4" fontId="0" fillId="0" borderId="12" xfId="0" applyNumberFormat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Interpolasi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236850393700788"/>
          <c:y val="0.11320754716981132"/>
          <c:w val="0.77736482939632545"/>
          <c:h val="0.72790033321306535"/>
        </c:manualLayout>
      </c:layout>
      <c:lineChart>
        <c:grouping val="standard"/>
        <c:varyColors val="0"/>
        <c:ser>
          <c:idx val="0"/>
          <c:order val="0"/>
          <c:tx>
            <c:strRef>
              <c:f>Sheet1!$S$25</c:f>
              <c:strCache>
                <c:ptCount val="1"/>
                <c:pt idx="0">
                  <c:v>Precision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Sheet1!$R$26:$R$36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Sheet1!$S$26:$S$36</c:f>
              <c:numCache>
                <c:formatCode>#,##0.00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0.66666666666666663</c:v>
                </c:pt>
                <c:pt idx="3">
                  <c:v>0.5</c:v>
                </c:pt>
                <c:pt idx="4">
                  <c:v>0.4</c:v>
                </c:pt>
                <c:pt idx="5">
                  <c:v>0.33333333333333331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E-4CE6-91FA-A280AA7E8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656475"/>
        <c:axId val="879659088"/>
      </c:lineChart>
      <c:catAx>
        <c:axId val="1605656475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79659088"/>
        <c:crosses val="autoZero"/>
        <c:auto val="1"/>
        <c:lblAlgn val="ctr"/>
        <c:lblOffset val="100"/>
        <c:noMultiLvlLbl val="1"/>
      </c:catAx>
      <c:valAx>
        <c:axId val="879659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Precision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056564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Interpolasi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Sheet1!$R$66:$R$76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Sheet1!$S$66:$S$76</c:f>
              <c:numCache>
                <c:formatCode>#,##0.00</c:formatCode>
                <c:ptCount val="11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 formatCode="General">
                  <c:v>0.2</c:v>
                </c:pt>
                <c:pt idx="8" formatCode="General">
                  <c:v>0.2</c:v>
                </c:pt>
                <c:pt idx="9" formatCode="General">
                  <c:v>0.2</c:v>
                </c:pt>
                <c:pt idx="10" formatCode="General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4-4F51-AE09-BA29C78B5D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95631280"/>
        <c:axId val="1295631760"/>
      </c:scatterChart>
      <c:valAx>
        <c:axId val="129563128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631760"/>
        <c:crosses val="autoZero"/>
        <c:crossBetween val="midCat"/>
        <c:majorUnit val="0.1"/>
      </c:valAx>
      <c:valAx>
        <c:axId val="12956317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Precision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63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Interpolasi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Sheet1!$R$116:$R$126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Sheet1!$S$116:$S$126</c:f>
              <c:numCache>
                <c:formatCode>#,##0.00</c:formatCode>
                <c:ptCount val="1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0.4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0-40E2-B19C-69D3904A90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95554480"/>
        <c:axId val="1295553520"/>
      </c:scatterChart>
      <c:valAx>
        <c:axId val="129555448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553520"/>
        <c:crosses val="autoZero"/>
        <c:crossBetween val="midCat"/>
        <c:majorUnit val="0.1"/>
      </c:valAx>
      <c:valAx>
        <c:axId val="12955535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Precesion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55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Interpolasi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Sheet1!$S$155</c:f>
              <c:strCache>
                <c:ptCount val="1"/>
                <c:pt idx="0">
                  <c:v>Precision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Sheet1!$R$156:$R$166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Sheet1!$S$156:$S$166</c:f>
              <c:numCache>
                <c:formatCode>#,##0.00</c:formatCode>
                <c:ptCount val="11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 formatCode="General">
                  <c:v>0.2</c:v>
                </c:pt>
                <c:pt idx="8" formatCode="General">
                  <c:v>0.2</c:v>
                </c:pt>
                <c:pt idx="9" formatCode="General">
                  <c:v>0.2</c:v>
                </c:pt>
                <c:pt idx="10" formatCode="General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22-4D36-8863-160A3B7CD4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95541040"/>
        <c:axId val="1295541520"/>
      </c:scatterChart>
      <c:valAx>
        <c:axId val="129554104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541520"/>
        <c:crosses val="autoZero"/>
        <c:crossBetween val="midCat"/>
      </c:valAx>
      <c:valAx>
        <c:axId val="12955415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Precesion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54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Perbandingan Algoritma1  PQ1 &amp; PQ2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Sheet1!$E$180</c:f>
              <c:strCache>
                <c:ptCount val="1"/>
                <c:pt idx="0">
                  <c:v>PQ1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Sheet1!$D$181:$D$191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Sheet1!$E$181:$E$191</c:f>
              <c:numCache>
                <c:formatCode>#,##0.00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0.66666666666666663</c:v>
                </c:pt>
                <c:pt idx="3">
                  <c:v>0.5</c:v>
                </c:pt>
                <c:pt idx="4">
                  <c:v>0.4</c:v>
                </c:pt>
                <c:pt idx="5">
                  <c:v>0.33333333333333331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4-45EF-9198-7F2EB97620A7}"/>
            </c:ext>
          </c:extLst>
        </c:ser>
        <c:ser>
          <c:idx val="1"/>
          <c:order val="1"/>
          <c:tx>
            <c:strRef>
              <c:f>Sheet1!$F$180</c:f>
              <c:strCache>
                <c:ptCount val="1"/>
                <c:pt idx="0">
                  <c:v>PQ2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Sheet1!$D$181:$D$191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Sheet1!$F$181:$F$191</c:f>
              <c:numCache>
                <c:formatCode>#,##0.00</c:formatCode>
                <c:ptCount val="11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 formatCode="General">
                  <c:v>0.25</c:v>
                </c:pt>
                <c:pt idx="5" formatCode="General">
                  <c:v>0.25</c:v>
                </c:pt>
                <c:pt idx="6" formatCode="General">
                  <c:v>0.25</c:v>
                </c:pt>
                <c:pt idx="7" formatCode="General">
                  <c:v>0.2</c:v>
                </c:pt>
                <c:pt idx="8" formatCode="General">
                  <c:v>0.2</c:v>
                </c:pt>
                <c:pt idx="9" formatCode="General">
                  <c:v>0.2</c:v>
                </c:pt>
                <c:pt idx="10" formatCode="General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4-45EF-9198-7F2EB9762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605840"/>
        <c:axId val="1295613520"/>
      </c:scatterChart>
      <c:valAx>
        <c:axId val="129560584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613520"/>
        <c:crosses val="autoZero"/>
        <c:crossBetween val="midCat"/>
        <c:majorUnit val="0.1"/>
      </c:valAx>
      <c:valAx>
        <c:axId val="12956135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Precesion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6058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Perbandingan Algoritma2 </a:t>
            </a:r>
            <a:r>
              <a:rPr lang="id-ID" sz="11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</a:t>
            </a:r>
            <a:r>
              <a:rPr lang="id-ID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PQ1 &amp; PQ2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Sheet1!$O$179</c:f>
              <c:strCache>
                <c:ptCount val="1"/>
                <c:pt idx="0">
                  <c:v>PQ1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Sheet1!$N$180:$N$190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Sheet1!$O$180:$O$190</c:f>
              <c:numCache>
                <c:formatCode>General</c:formatCode>
                <c:ptCount val="1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1-4FA4-9261-02D9684BF65C}"/>
            </c:ext>
          </c:extLst>
        </c:ser>
        <c:ser>
          <c:idx val="1"/>
          <c:order val="1"/>
          <c:tx>
            <c:strRef>
              <c:f>Sheet1!$P$179</c:f>
              <c:strCache>
                <c:ptCount val="1"/>
                <c:pt idx="0">
                  <c:v>PQ2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Sheet1!$N$180:$N$190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Sheet1!$P$180:$P$190</c:f>
              <c:numCache>
                <c:formatCode>#,##0.00</c:formatCode>
                <c:ptCount val="11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 formatCode="General">
                  <c:v>0.25</c:v>
                </c:pt>
                <c:pt idx="5" formatCode="General">
                  <c:v>0.25</c:v>
                </c:pt>
                <c:pt idx="6" formatCode="General">
                  <c:v>0.25</c:v>
                </c:pt>
                <c:pt idx="7" formatCode="General">
                  <c:v>0.2</c:v>
                </c:pt>
                <c:pt idx="8" formatCode="General">
                  <c:v>0.2</c:v>
                </c:pt>
                <c:pt idx="9" formatCode="General">
                  <c:v>0.2</c:v>
                </c:pt>
                <c:pt idx="10" formatCode="General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71-4FA4-9261-02D9684BF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579440"/>
        <c:axId val="1295589520"/>
      </c:scatterChart>
      <c:valAx>
        <c:axId val="129557944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589520"/>
        <c:crosses val="autoZero"/>
        <c:crossBetween val="midCat"/>
        <c:majorUnit val="0.1"/>
      </c:valAx>
      <c:valAx>
        <c:axId val="12955895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Percesion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557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590550</xdr:colOff>
      <xdr:row>23</xdr:row>
      <xdr:rowOff>190500</xdr:rowOff>
    </xdr:from>
    <xdr:ext cx="5715000" cy="3533775"/>
    <xdr:graphicFrame macro="">
      <xdr:nvGraphicFramePr>
        <xdr:cNvPr id="997323989" name="Chart 1" title="Diagram">
          <a:extLst>
            <a:ext uri="{FF2B5EF4-FFF2-40B4-BE49-F238E27FC236}">
              <a16:creationId xmlns:a16="http://schemas.microsoft.com/office/drawing/2014/main" id="{00000000-0008-0000-0000-0000D5F47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590550</xdr:colOff>
      <xdr:row>7</xdr:row>
      <xdr:rowOff>76200</xdr:rowOff>
    </xdr:from>
    <xdr:ext cx="3429000" cy="400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631500" y="3584738"/>
          <a:ext cx="3429000" cy="390525"/>
        </a:xfrm>
        <a:prstGeom prst="rect">
          <a:avLst/>
        </a:prstGeom>
        <a:solidFill>
          <a:srgbClr val="D9E5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Recall= Relevant Retrieved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/ </a:t>
          </a: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 Relevant  ​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/>
        </a:p>
      </xdr:txBody>
    </xdr:sp>
    <xdr:clientData fLocksWithSheet="0"/>
  </xdr:oneCellAnchor>
  <xdr:oneCellAnchor>
    <xdr:from>
      <xdr:col>4</xdr:col>
      <xdr:colOff>600075</xdr:colOff>
      <xdr:row>9</xdr:row>
      <xdr:rowOff>95250</xdr:rowOff>
    </xdr:from>
    <xdr:ext cx="3429000" cy="4000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631500" y="3584738"/>
          <a:ext cx="3429000" cy="390525"/>
        </a:xfrm>
        <a:prstGeom prst="rect">
          <a:avLst/>
        </a:prstGeom>
        <a:solidFill>
          <a:srgbClr val="D9E5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Precision= Relevant Retrieved / Retrieved​</a:t>
          </a:r>
          <a:endParaRPr sz="1400"/>
        </a:p>
      </xdr:txBody>
    </xdr:sp>
    <xdr:clientData fLocksWithSheet="0"/>
  </xdr:oneCellAnchor>
  <xdr:oneCellAnchor>
    <xdr:from>
      <xdr:col>2</xdr:col>
      <xdr:colOff>581025</xdr:colOff>
      <xdr:row>13</xdr:row>
      <xdr:rowOff>57150</xdr:rowOff>
    </xdr:from>
    <xdr:ext cx="866775" cy="257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917375" y="3651413"/>
          <a:ext cx="857250" cy="257175"/>
        </a:xfrm>
        <a:prstGeom prst="rect">
          <a:avLst/>
        </a:prstGeom>
        <a:solidFill>
          <a:srgbClr val="93DC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Query 1</a:t>
          </a:r>
          <a:endParaRPr sz="1400"/>
        </a:p>
      </xdr:txBody>
    </xdr:sp>
    <xdr:clientData fLocksWithSheet="0"/>
  </xdr:oneCellAnchor>
  <xdr:oneCellAnchor>
    <xdr:from>
      <xdr:col>9</xdr:col>
      <xdr:colOff>209550</xdr:colOff>
      <xdr:row>20</xdr:row>
      <xdr:rowOff>0</xdr:rowOff>
    </xdr:from>
    <xdr:ext cx="2771775" cy="4857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964875" y="3537113"/>
          <a:ext cx="2762250" cy="485775"/>
        </a:xfrm>
        <a:prstGeom prst="rect">
          <a:avLst/>
        </a:prstGeom>
        <a:solidFill>
          <a:srgbClr val="93DC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Grafik Interpolasi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47</xdr:row>
      <xdr:rowOff>76200</xdr:rowOff>
    </xdr:from>
    <xdr:ext cx="3429000" cy="4000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631500" y="3584738"/>
          <a:ext cx="3429000" cy="390525"/>
        </a:xfrm>
        <a:prstGeom prst="rect">
          <a:avLst/>
        </a:prstGeom>
        <a:solidFill>
          <a:srgbClr val="D9E5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Recall= Relevant Retrieved / Total Relevant  ​ </a:t>
          </a:r>
          <a:endParaRPr sz="1400"/>
        </a:p>
      </xdr:txBody>
    </xdr:sp>
    <xdr:clientData fLocksWithSheet="0"/>
  </xdr:oneCellAnchor>
  <xdr:oneCellAnchor>
    <xdr:from>
      <xdr:col>4</xdr:col>
      <xdr:colOff>600075</xdr:colOff>
      <xdr:row>49</xdr:row>
      <xdr:rowOff>95250</xdr:rowOff>
    </xdr:from>
    <xdr:ext cx="3429000" cy="400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631500" y="3584738"/>
          <a:ext cx="3429000" cy="390525"/>
        </a:xfrm>
        <a:prstGeom prst="rect">
          <a:avLst/>
        </a:prstGeom>
        <a:solidFill>
          <a:srgbClr val="D9E5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Precision= Relevant Retrieved / Retrieved​</a:t>
          </a:r>
          <a:endParaRPr sz="1400"/>
        </a:p>
      </xdr:txBody>
    </xdr:sp>
    <xdr:clientData fLocksWithSheet="0"/>
  </xdr:oneCellAnchor>
  <xdr:oneCellAnchor>
    <xdr:from>
      <xdr:col>2</xdr:col>
      <xdr:colOff>581025</xdr:colOff>
      <xdr:row>53</xdr:row>
      <xdr:rowOff>57150</xdr:rowOff>
    </xdr:from>
    <xdr:ext cx="866775" cy="257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917375" y="3651413"/>
          <a:ext cx="857250" cy="257175"/>
        </a:xfrm>
        <a:prstGeom prst="rect">
          <a:avLst/>
        </a:prstGeom>
        <a:solidFill>
          <a:srgbClr val="93DC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Query 2</a:t>
          </a:r>
          <a:endParaRPr sz="1400"/>
        </a:p>
      </xdr:txBody>
    </xdr:sp>
    <xdr:clientData fLocksWithSheet="0"/>
  </xdr:oneCellAnchor>
  <xdr:oneCellAnchor>
    <xdr:from>
      <xdr:col>9</xdr:col>
      <xdr:colOff>209550</xdr:colOff>
      <xdr:row>60</xdr:row>
      <xdr:rowOff>0</xdr:rowOff>
    </xdr:from>
    <xdr:ext cx="2771775" cy="485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964875" y="3537113"/>
          <a:ext cx="2762250" cy="485775"/>
        </a:xfrm>
        <a:prstGeom prst="rect">
          <a:avLst/>
        </a:prstGeom>
        <a:solidFill>
          <a:srgbClr val="93DC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Grafik Interpolasi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98</xdr:row>
      <xdr:rowOff>76200</xdr:rowOff>
    </xdr:from>
    <xdr:ext cx="3429000" cy="4000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631500" y="3584738"/>
          <a:ext cx="3429000" cy="390525"/>
        </a:xfrm>
        <a:prstGeom prst="rect">
          <a:avLst/>
        </a:prstGeom>
        <a:solidFill>
          <a:srgbClr val="D9E5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Recall= Relevant Retrieved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/ </a:t>
          </a: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 Relevant  ​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/>
        </a:p>
      </xdr:txBody>
    </xdr:sp>
    <xdr:clientData fLocksWithSheet="0"/>
  </xdr:oneCellAnchor>
  <xdr:oneCellAnchor>
    <xdr:from>
      <xdr:col>4</xdr:col>
      <xdr:colOff>600075</xdr:colOff>
      <xdr:row>100</xdr:row>
      <xdr:rowOff>95250</xdr:rowOff>
    </xdr:from>
    <xdr:ext cx="3429000" cy="4000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631500" y="3584738"/>
          <a:ext cx="3429000" cy="390525"/>
        </a:xfrm>
        <a:prstGeom prst="rect">
          <a:avLst/>
        </a:prstGeom>
        <a:solidFill>
          <a:srgbClr val="D9E5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Precision= Relevant Retrieved / Retrieved​</a:t>
          </a:r>
          <a:endParaRPr sz="1400"/>
        </a:p>
      </xdr:txBody>
    </xdr:sp>
    <xdr:clientData fLocksWithSheet="0"/>
  </xdr:oneCellAnchor>
  <xdr:oneCellAnchor>
    <xdr:from>
      <xdr:col>2</xdr:col>
      <xdr:colOff>581025</xdr:colOff>
      <xdr:row>104</xdr:row>
      <xdr:rowOff>57150</xdr:rowOff>
    </xdr:from>
    <xdr:ext cx="866775" cy="2571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917375" y="3651413"/>
          <a:ext cx="857250" cy="257175"/>
        </a:xfrm>
        <a:prstGeom prst="rect">
          <a:avLst/>
        </a:prstGeom>
        <a:solidFill>
          <a:srgbClr val="93DC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Query 1</a:t>
          </a:r>
          <a:endParaRPr sz="1400"/>
        </a:p>
      </xdr:txBody>
    </xdr:sp>
    <xdr:clientData fLocksWithSheet="0"/>
  </xdr:oneCellAnchor>
  <xdr:oneCellAnchor>
    <xdr:from>
      <xdr:col>9</xdr:col>
      <xdr:colOff>209550</xdr:colOff>
      <xdr:row>111</xdr:row>
      <xdr:rowOff>0</xdr:rowOff>
    </xdr:from>
    <xdr:ext cx="2771775" cy="4857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964875" y="3537113"/>
          <a:ext cx="2762250" cy="485775"/>
        </a:xfrm>
        <a:prstGeom prst="rect">
          <a:avLst/>
        </a:prstGeom>
        <a:solidFill>
          <a:srgbClr val="93DC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Grafik Interpolasi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138</xdr:row>
      <xdr:rowOff>76200</xdr:rowOff>
    </xdr:from>
    <xdr:ext cx="3429000" cy="4000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631500" y="3584738"/>
          <a:ext cx="3429000" cy="390525"/>
        </a:xfrm>
        <a:prstGeom prst="rect">
          <a:avLst/>
        </a:prstGeom>
        <a:solidFill>
          <a:srgbClr val="D9E5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Recall= Relevant Retrieved / Total Relevant  ​ </a:t>
          </a:r>
          <a:endParaRPr sz="1400"/>
        </a:p>
      </xdr:txBody>
    </xdr:sp>
    <xdr:clientData fLocksWithSheet="0"/>
  </xdr:oneCellAnchor>
  <xdr:oneCellAnchor>
    <xdr:from>
      <xdr:col>4</xdr:col>
      <xdr:colOff>600075</xdr:colOff>
      <xdr:row>140</xdr:row>
      <xdr:rowOff>95250</xdr:rowOff>
    </xdr:from>
    <xdr:ext cx="3429000" cy="4000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631500" y="3584738"/>
          <a:ext cx="3429000" cy="390525"/>
        </a:xfrm>
        <a:prstGeom prst="rect">
          <a:avLst/>
        </a:prstGeom>
        <a:solidFill>
          <a:srgbClr val="D9E5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Precision= Relevant Retrieved / Retrieved​</a:t>
          </a:r>
          <a:endParaRPr sz="1400"/>
        </a:p>
      </xdr:txBody>
    </xdr:sp>
    <xdr:clientData fLocksWithSheet="0"/>
  </xdr:oneCellAnchor>
  <xdr:oneCellAnchor>
    <xdr:from>
      <xdr:col>2</xdr:col>
      <xdr:colOff>581025</xdr:colOff>
      <xdr:row>144</xdr:row>
      <xdr:rowOff>57150</xdr:rowOff>
    </xdr:from>
    <xdr:ext cx="866775" cy="2571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917375" y="3651413"/>
          <a:ext cx="857250" cy="257175"/>
        </a:xfrm>
        <a:prstGeom prst="rect">
          <a:avLst/>
        </a:prstGeom>
        <a:solidFill>
          <a:srgbClr val="93DC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Query 2</a:t>
          </a:r>
          <a:endParaRPr sz="1400"/>
        </a:p>
      </xdr:txBody>
    </xdr:sp>
    <xdr:clientData fLocksWithSheet="0"/>
  </xdr:oneCellAnchor>
  <xdr:oneCellAnchor>
    <xdr:from>
      <xdr:col>9</xdr:col>
      <xdr:colOff>209550</xdr:colOff>
      <xdr:row>151</xdr:row>
      <xdr:rowOff>0</xdr:rowOff>
    </xdr:from>
    <xdr:ext cx="2771775" cy="4857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964875" y="3537113"/>
          <a:ext cx="2762250" cy="485775"/>
        </a:xfrm>
        <a:prstGeom prst="rect">
          <a:avLst/>
        </a:prstGeom>
        <a:solidFill>
          <a:srgbClr val="93DCF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Grafik Interpolasi</a:t>
          </a:r>
          <a:endParaRPr sz="1400"/>
        </a:p>
      </xdr:txBody>
    </xdr:sp>
    <xdr:clientData fLocksWithSheet="0"/>
  </xdr:oneCellAnchor>
  <xdr:twoCellAnchor>
    <xdr:from>
      <xdr:col>6</xdr:col>
      <xdr:colOff>590549</xdr:colOff>
      <xdr:row>63</xdr:row>
      <xdr:rowOff>123824</xdr:rowOff>
    </xdr:from>
    <xdr:to>
      <xdr:col>15</xdr:col>
      <xdr:colOff>485774</xdr:colOff>
      <xdr:row>79</xdr:row>
      <xdr:rowOff>180975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6C893F0-867E-AB76-E71B-0F7711DE4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38099</xdr:colOff>
      <xdr:row>114</xdr:row>
      <xdr:rowOff>200024</xdr:rowOff>
    </xdr:from>
    <xdr:to>
      <xdr:col>15</xdr:col>
      <xdr:colOff>485775</xdr:colOff>
      <xdr:row>131</xdr:row>
      <xdr:rowOff>28575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CFC11F2-A6A7-CF01-C012-8970C7418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476249</xdr:colOff>
      <xdr:row>154</xdr:row>
      <xdr:rowOff>76199</xdr:rowOff>
    </xdr:from>
    <xdr:to>
      <xdr:col>15</xdr:col>
      <xdr:colOff>409574</xdr:colOff>
      <xdr:row>170</xdr:row>
      <xdr:rowOff>47624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24AEEF3-6856-22E4-C079-C38E93571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123825</xdr:colOff>
      <xdr:row>192</xdr:row>
      <xdr:rowOff>104775</xdr:rowOff>
    </xdr:from>
    <xdr:to>
      <xdr:col>8</xdr:col>
      <xdr:colOff>571500</xdr:colOff>
      <xdr:row>207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A3D5A9A-7978-4669-9566-8395DDDEE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361950</xdr:colOff>
      <xdr:row>175</xdr:row>
      <xdr:rowOff>9525</xdr:rowOff>
    </xdr:from>
    <xdr:to>
      <xdr:col>7</xdr:col>
      <xdr:colOff>400050</xdr:colOff>
      <xdr:row>177</xdr:row>
      <xdr:rowOff>28575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E0F19FC-92A8-F80C-0D50-D3C4D5B7F0B0}"/>
            </a:ext>
          </a:extLst>
        </xdr:cNvPr>
        <xdr:cNvSpPr txBox="1"/>
      </xdr:nvSpPr>
      <xdr:spPr>
        <a:xfrm>
          <a:off x="1581150" y="35061525"/>
          <a:ext cx="3086100" cy="4191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000" b="1"/>
            <a:t>Algoritma</a:t>
          </a:r>
          <a:r>
            <a:rPr lang="id-ID" sz="2000" b="1" baseline="0"/>
            <a:t> 1</a:t>
          </a:r>
          <a:endParaRPr lang="id-ID" sz="2000" b="1"/>
        </a:p>
      </xdr:txBody>
    </xdr:sp>
    <xdr:clientData/>
  </xdr:twoCellAnchor>
  <xdr:twoCellAnchor>
    <xdr:from>
      <xdr:col>12</xdr:col>
      <xdr:colOff>428625</xdr:colOff>
      <xdr:row>175</xdr:row>
      <xdr:rowOff>0</xdr:rowOff>
    </xdr:from>
    <xdr:to>
      <xdr:col>17</xdr:col>
      <xdr:colOff>466725</xdr:colOff>
      <xdr:row>177</xdr:row>
      <xdr:rowOff>19050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A97CCD0-D1F1-46D6-B7F9-7E40E973C97D}"/>
            </a:ext>
          </a:extLst>
        </xdr:cNvPr>
        <xdr:cNvSpPr txBox="1"/>
      </xdr:nvSpPr>
      <xdr:spPr>
        <a:xfrm>
          <a:off x="7743825" y="35052000"/>
          <a:ext cx="3086100" cy="4191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000" b="1"/>
            <a:t>Algoritma</a:t>
          </a:r>
          <a:r>
            <a:rPr lang="id-ID" sz="2000" b="1" baseline="0"/>
            <a:t> 2</a:t>
          </a:r>
          <a:endParaRPr lang="id-ID" sz="2000" b="1"/>
        </a:p>
      </xdr:txBody>
    </xdr:sp>
    <xdr:clientData/>
  </xdr:twoCellAnchor>
  <xdr:twoCellAnchor>
    <xdr:from>
      <xdr:col>10</xdr:col>
      <xdr:colOff>257174</xdr:colOff>
      <xdr:row>192</xdr:row>
      <xdr:rowOff>57150</xdr:rowOff>
    </xdr:from>
    <xdr:to>
      <xdr:col>18</xdr:col>
      <xdr:colOff>171449</xdr:colOff>
      <xdr:row>206</xdr:row>
      <xdr:rowOff>104775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D7C2BD8-356C-0233-E010-BCCC7A7A2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5</xdr:col>
      <xdr:colOff>171450</xdr:colOff>
      <xdr:row>3</xdr:row>
      <xdr:rowOff>142875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8EE0B3C-F451-A3A7-4888-932329743074}"/>
            </a:ext>
          </a:extLst>
        </xdr:cNvPr>
        <xdr:cNvSpPr txBox="1"/>
      </xdr:nvSpPr>
      <xdr:spPr>
        <a:xfrm>
          <a:off x="0" y="0"/>
          <a:ext cx="3219450" cy="7143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400" b="1"/>
            <a:t>Nama : Leonardus Dale Masan</a:t>
          </a:r>
        </a:p>
        <a:p>
          <a:pPr algn="ctr"/>
          <a:r>
            <a:rPr lang="id-ID" sz="1400" b="1"/>
            <a:t>NIM : 235314071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2"/>
  <sheetViews>
    <sheetView tabSelected="1" topLeftCell="A199" workbookViewId="0">
      <selection activeCell="L9" sqref="L9"/>
    </sheetView>
  </sheetViews>
  <sheetFormatPr defaultColWidth="12.5703125" defaultRowHeight="15" customHeight="1"/>
  <cols>
    <col min="1" max="23" width="9.140625" customWidth="1"/>
    <col min="24" max="24" width="7.5703125" customWidth="1"/>
    <col min="25" max="29" width="9.140625" customWidth="1"/>
    <col min="30" max="32" width="8.5703125" customWidth="1"/>
  </cols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"/>
      <c r="B3" s="1"/>
      <c r="C3" s="1"/>
      <c r="D3" s="1"/>
      <c r="E3" s="1"/>
      <c r="F3" s="1"/>
      <c r="G3" s="1"/>
      <c r="H3" s="1"/>
      <c r="I3" s="1"/>
      <c r="J3" s="2"/>
      <c r="K3" s="3"/>
      <c r="L3" s="3"/>
      <c r="M3" s="3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4">
      <c r="A4" s="1"/>
      <c r="B4" s="1"/>
      <c r="C4" s="1"/>
      <c r="D4" s="1"/>
      <c r="E4" s="1"/>
      <c r="F4" s="1"/>
      <c r="G4" s="1"/>
      <c r="H4" s="1"/>
      <c r="I4" s="1"/>
      <c r="J4" s="5"/>
      <c r="K4" s="6"/>
      <c r="L4" s="7" t="s">
        <v>0</v>
      </c>
      <c r="M4" s="6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1"/>
      <c r="B5" s="1"/>
      <c r="C5" s="1"/>
      <c r="D5" s="1"/>
      <c r="E5" s="1"/>
      <c r="F5" s="1"/>
      <c r="G5" s="1"/>
      <c r="H5" s="1"/>
      <c r="I5" s="1"/>
      <c r="J5" s="9"/>
      <c r="K5" s="10"/>
      <c r="L5" s="10"/>
      <c r="M5" s="10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75">
      <c r="A6" s="1"/>
      <c r="B6" s="1"/>
      <c r="C6" s="1"/>
      <c r="D6" s="1"/>
      <c r="E6" s="1"/>
      <c r="F6" s="12" t="s">
        <v>1</v>
      </c>
      <c r="G6" s="13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75">
      <c r="A7" s="1"/>
      <c r="B7" s="1"/>
      <c r="C7" s="1"/>
      <c r="D7" s="1"/>
      <c r="E7" s="1"/>
      <c r="F7" s="12" t="s">
        <v>2</v>
      </c>
      <c r="G7" s="14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Y10" s="15"/>
      <c r="Z10" s="1"/>
      <c r="AA10" s="1"/>
      <c r="AB10" s="1"/>
      <c r="AC10" s="1"/>
      <c r="AD10" s="1"/>
      <c r="AE10" s="1"/>
      <c r="AF10" s="1"/>
    </row>
    <row r="11" spans="1:32" ht="15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Y11" s="15"/>
      <c r="Z11" s="1"/>
      <c r="AA11" s="1"/>
      <c r="AB11" s="1"/>
      <c r="AC11" s="1"/>
      <c r="AD11" s="1"/>
      <c r="AE11" s="1"/>
      <c r="AF11" s="1"/>
    </row>
    <row r="12" spans="1:32" ht="15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Y12" s="15"/>
      <c r="Z12" s="1"/>
      <c r="AA12" s="1"/>
      <c r="AB12" s="1"/>
      <c r="AC12" s="1"/>
      <c r="AD12" s="1"/>
      <c r="AE12" s="1"/>
      <c r="AF12" s="1"/>
    </row>
    <row r="13" spans="1:32" ht="15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Y13" s="15"/>
      <c r="Z13" s="1"/>
      <c r="AA13" s="1"/>
      <c r="AB13" s="1"/>
      <c r="AC13" s="1"/>
      <c r="AD13" s="1"/>
      <c r="AE13" s="1"/>
      <c r="AF13" s="1"/>
    </row>
    <row r="14" spans="1:32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Y14" s="15"/>
      <c r="Z14" s="1"/>
      <c r="AA14" s="1"/>
      <c r="AB14" s="1"/>
      <c r="AC14" s="1"/>
      <c r="AD14" s="1"/>
      <c r="AE14" s="1"/>
      <c r="AF14" s="1"/>
    </row>
    <row r="15" spans="1:32" ht="15.75">
      <c r="A15" s="1"/>
      <c r="B15" s="1"/>
      <c r="C15" s="1"/>
      <c r="D15" s="1"/>
      <c r="E15" s="1"/>
      <c r="F15" s="16">
        <v>1</v>
      </c>
      <c r="G15" s="16">
        <v>2</v>
      </c>
      <c r="H15" s="16">
        <v>3</v>
      </c>
      <c r="I15" s="16">
        <v>4</v>
      </c>
      <c r="J15" s="16">
        <v>5</v>
      </c>
      <c r="K15" s="16">
        <v>6</v>
      </c>
      <c r="L15" s="16">
        <v>7</v>
      </c>
      <c r="M15" s="16">
        <v>8</v>
      </c>
      <c r="N15" s="16">
        <v>9</v>
      </c>
      <c r="O15" s="16">
        <v>10</v>
      </c>
      <c r="P15" s="16">
        <v>11</v>
      </c>
      <c r="Q15" s="16">
        <v>12</v>
      </c>
      <c r="R15" s="16">
        <v>13</v>
      </c>
      <c r="S15" s="16">
        <v>14</v>
      </c>
      <c r="T15" s="16">
        <v>15</v>
      </c>
      <c r="U15" s="1"/>
      <c r="Y15" s="15"/>
      <c r="Z15" s="1"/>
      <c r="AA15" s="1"/>
      <c r="AB15" s="1"/>
      <c r="AC15" s="1"/>
      <c r="AD15" s="1"/>
      <c r="AE15" s="1"/>
      <c r="AF15" s="1"/>
    </row>
    <row r="16" spans="1:32" ht="15.75">
      <c r="A16" s="1"/>
      <c r="B16" s="1"/>
      <c r="C16" s="1"/>
      <c r="D16" s="1"/>
      <c r="E16" s="1"/>
      <c r="F16" s="17" t="s">
        <v>3</v>
      </c>
      <c r="G16" s="18" t="s">
        <v>4</v>
      </c>
      <c r="H16" s="17" t="s">
        <v>5</v>
      </c>
      <c r="I16" s="18" t="s">
        <v>6</v>
      </c>
      <c r="J16" s="18" t="s">
        <v>7</v>
      </c>
      <c r="K16" s="17" t="s">
        <v>8</v>
      </c>
      <c r="L16" s="18" t="s">
        <v>9</v>
      </c>
      <c r="M16" s="18" t="s">
        <v>10</v>
      </c>
      <c r="N16" s="18" t="s">
        <v>11</v>
      </c>
      <c r="O16" s="17" t="s">
        <v>12</v>
      </c>
      <c r="P16" s="18" t="s">
        <v>13</v>
      </c>
      <c r="Q16" s="18" t="s">
        <v>14</v>
      </c>
      <c r="R16" s="18" t="s">
        <v>15</v>
      </c>
      <c r="S16" s="18" t="s">
        <v>16</v>
      </c>
      <c r="T16" s="17" t="s">
        <v>17</v>
      </c>
      <c r="U16" s="1"/>
      <c r="Y16" s="15"/>
      <c r="Z16" s="1"/>
      <c r="AA16" s="1"/>
      <c r="AB16" s="1"/>
      <c r="AC16" s="1"/>
      <c r="AD16" s="1"/>
      <c r="AE16" s="1"/>
      <c r="AF16" s="1"/>
    </row>
    <row r="17" spans="1:32" ht="15.75">
      <c r="A17" s="1"/>
      <c r="B17" s="1"/>
      <c r="C17" s="1"/>
      <c r="D17" s="1"/>
      <c r="E17" s="19" t="s">
        <v>18</v>
      </c>
      <c r="F17" s="20">
        <f t="shared" ref="F17:G17" si="0">1/10</f>
        <v>0.1</v>
      </c>
      <c r="G17" s="21">
        <f t="shared" si="0"/>
        <v>0.1</v>
      </c>
      <c r="H17" s="20">
        <f t="shared" ref="H17:J17" si="1">2/10</f>
        <v>0.2</v>
      </c>
      <c r="I17" s="21">
        <f t="shared" si="1"/>
        <v>0.2</v>
      </c>
      <c r="J17" s="21">
        <f t="shared" si="1"/>
        <v>0.2</v>
      </c>
      <c r="K17" s="20">
        <f t="shared" ref="K17:N17" si="2">3/10</f>
        <v>0.3</v>
      </c>
      <c r="L17" s="21">
        <f t="shared" si="2"/>
        <v>0.3</v>
      </c>
      <c r="M17" s="21">
        <f t="shared" si="2"/>
        <v>0.3</v>
      </c>
      <c r="N17" s="21">
        <f t="shared" si="2"/>
        <v>0.3</v>
      </c>
      <c r="O17" s="20">
        <f t="shared" ref="O17:S17" si="3">4/10</f>
        <v>0.4</v>
      </c>
      <c r="P17" s="21">
        <f t="shared" si="3"/>
        <v>0.4</v>
      </c>
      <c r="Q17" s="21">
        <f t="shared" si="3"/>
        <v>0.4</v>
      </c>
      <c r="R17" s="21">
        <f t="shared" si="3"/>
        <v>0.4</v>
      </c>
      <c r="S17" s="21">
        <f t="shared" si="3"/>
        <v>0.4</v>
      </c>
      <c r="T17" s="20">
        <f>5/10</f>
        <v>0.5</v>
      </c>
      <c r="U17" s="1"/>
      <c r="Y17" s="15"/>
      <c r="Z17" s="1"/>
      <c r="AA17" s="1"/>
      <c r="AB17" s="1"/>
      <c r="AC17" s="1"/>
      <c r="AD17" s="1"/>
      <c r="AE17" s="1"/>
      <c r="AF17" s="1"/>
    </row>
    <row r="18" spans="1:32" ht="15.75">
      <c r="A18" s="1"/>
      <c r="B18" s="1"/>
      <c r="C18" s="1"/>
      <c r="D18" s="1"/>
      <c r="E18" s="19" t="s">
        <v>19</v>
      </c>
      <c r="F18" s="21">
        <v>1</v>
      </c>
      <c r="G18" s="21">
        <f>1/2</f>
        <v>0.5</v>
      </c>
      <c r="H18" s="21">
        <f>2/3</f>
        <v>0.66666666666666663</v>
      </c>
      <c r="I18" s="21">
        <f>2/4</f>
        <v>0.5</v>
      </c>
      <c r="J18" s="21">
        <f>2/5</f>
        <v>0.4</v>
      </c>
      <c r="K18" s="21">
        <f>3/6</f>
        <v>0.5</v>
      </c>
      <c r="L18" s="21">
        <f>3/7</f>
        <v>0.42857142857142855</v>
      </c>
      <c r="M18" s="21">
        <f>3/8</f>
        <v>0.375</v>
      </c>
      <c r="N18" s="21">
        <f>3/9</f>
        <v>0.33333333333333331</v>
      </c>
      <c r="O18" s="21">
        <f>4/10</f>
        <v>0.4</v>
      </c>
      <c r="P18" s="21">
        <f>4/11</f>
        <v>0.36363636363636365</v>
      </c>
      <c r="Q18" s="21">
        <f>4/12</f>
        <v>0.33333333333333331</v>
      </c>
      <c r="R18" s="21">
        <f>4/13</f>
        <v>0.30769230769230771</v>
      </c>
      <c r="S18" s="21">
        <f>4/14</f>
        <v>0.2857142857142857</v>
      </c>
      <c r="T18" s="21">
        <f>5/15</f>
        <v>0.33333333333333331</v>
      </c>
      <c r="U18" s="1"/>
      <c r="Y18" s="15"/>
      <c r="Z18" s="1"/>
      <c r="AA18" s="1"/>
      <c r="AB18" s="1"/>
      <c r="AC18" s="1"/>
      <c r="AD18" s="1"/>
      <c r="AE18" s="1"/>
      <c r="AF18" s="1"/>
    </row>
    <row r="19" spans="1:32" ht="15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Y19" s="15"/>
      <c r="Z19" s="1"/>
      <c r="AA19" s="1"/>
      <c r="AB19" s="1"/>
      <c r="AC19" s="1"/>
      <c r="AD19" s="1"/>
      <c r="AE19" s="1"/>
      <c r="AF19" s="1"/>
    </row>
    <row r="20" spans="1:32" ht="15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2" t="s">
        <v>20</v>
      </c>
      <c r="S20" s="22">
        <f>AVERAGE(F18:T18)</f>
        <v>0.44848540348540339</v>
      </c>
      <c r="T20" s="1"/>
      <c r="U20" s="1"/>
      <c r="Y20" s="15"/>
      <c r="Z20" s="1"/>
      <c r="AA20" s="1"/>
      <c r="AB20" s="1"/>
      <c r="AC20" s="1"/>
      <c r="AD20" s="1"/>
      <c r="AE20" s="1"/>
      <c r="AF20" s="1"/>
    </row>
    <row r="21" spans="1:3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3" t="s">
        <v>21</v>
      </c>
      <c r="S25" s="24" t="s">
        <v>22</v>
      </c>
      <c r="T25" s="23" t="s">
        <v>23</v>
      </c>
      <c r="U25" s="1"/>
      <c r="V25" s="25"/>
      <c r="W25" s="25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6">
        <v>0</v>
      </c>
      <c r="S26" s="27">
        <f>F18</f>
        <v>1</v>
      </c>
      <c r="T26" s="27">
        <f t="shared" ref="T26:T31" si="4">S26</f>
        <v>1</v>
      </c>
      <c r="U26" s="1"/>
      <c r="V26" s="28"/>
      <c r="W26" s="28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M27" s="1"/>
      <c r="N27" s="1"/>
      <c r="P27" s="1"/>
      <c r="Q27" s="1"/>
      <c r="R27" s="29">
        <v>0.1</v>
      </c>
      <c r="S27" s="27">
        <f>F18</f>
        <v>1</v>
      </c>
      <c r="T27" s="27">
        <f t="shared" si="4"/>
        <v>1</v>
      </c>
      <c r="U27" s="1"/>
      <c r="V27" s="28"/>
      <c r="W27" s="28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>
        <v>0.2</v>
      </c>
      <c r="S28" s="27">
        <f>H18</f>
        <v>0.66666666666666663</v>
      </c>
      <c r="T28" s="27">
        <f t="shared" si="4"/>
        <v>0.66666666666666663</v>
      </c>
      <c r="U28" s="1"/>
      <c r="V28" s="28"/>
      <c r="W28" s="28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9">
        <v>0.3</v>
      </c>
      <c r="S29" s="27">
        <f>K18</f>
        <v>0.5</v>
      </c>
      <c r="T29" s="27">
        <f t="shared" si="4"/>
        <v>0.5</v>
      </c>
      <c r="U29" s="1"/>
      <c r="V29" s="28"/>
      <c r="W29" s="28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6">
        <v>0.4</v>
      </c>
      <c r="S30" s="27">
        <f>O18</f>
        <v>0.4</v>
      </c>
      <c r="T30" s="27">
        <f t="shared" si="4"/>
        <v>0.4</v>
      </c>
      <c r="U30" s="1"/>
      <c r="V30" s="28"/>
      <c r="W30" s="28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9">
        <v>0.5</v>
      </c>
      <c r="S31" s="27">
        <f>T18</f>
        <v>0.33333333333333331</v>
      </c>
      <c r="T31" s="27">
        <f t="shared" si="4"/>
        <v>0.33333333333333331</v>
      </c>
      <c r="U31" s="1"/>
      <c r="V31" s="28"/>
      <c r="W31" s="28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6">
        <v>0.6</v>
      </c>
      <c r="S32" s="26">
        <v>0</v>
      </c>
      <c r="T32" s="26">
        <v>0</v>
      </c>
      <c r="U32" s="1"/>
      <c r="V32" s="28"/>
      <c r="W32" s="28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9">
        <v>0.7</v>
      </c>
      <c r="S33" s="26">
        <v>0</v>
      </c>
      <c r="T33" s="26">
        <v>0</v>
      </c>
      <c r="U33" s="1"/>
      <c r="V33" s="28"/>
      <c r="W33" s="28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6">
        <v>0.8</v>
      </c>
      <c r="S34" s="26">
        <v>0</v>
      </c>
      <c r="T34" s="26">
        <v>0</v>
      </c>
      <c r="U34" s="1"/>
      <c r="V34" s="28"/>
      <c r="W34" s="28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9">
        <v>0.9</v>
      </c>
      <c r="S35" s="26">
        <v>0</v>
      </c>
      <c r="T35" s="26">
        <v>0</v>
      </c>
      <c r="U35" s="1"/>
      <c r="V35" s="28"/>
      <c r="W35" s="28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6">
        <v>1</v>
      </c>
      <c r="S36" s="26">
        <v>0</v>
      </c>
      <c r="T36" s="26">
        <v>0</v>
      </c>
      <c r="U36" s="1"/>
      <c r="V36" s="28"/>
      <c r="W36" s="28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2" t="s">
        <v>1</v>
      </c>
      <c r="G46" s="13"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2" t="s">
        <v>2</v>
      </c>
      <c r="G47" s="14">
        <v>15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B50" s="32"/>
      <c r="AC50" s="32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B51" s="33"/>
      <c r="AC51" s="33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B52" s="33"/>
      <c r="AC52" s="33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AB53" s="33"/>
      <c r="AC53" s="33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AB54" s="33"/>
      <c r="AC54" s="33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6">
        <v>1</v>
      </c>
      <c r="G55" s="16">
        <v>2</v>
      </c>
      <c r="H55" s="16">
        <v>3</v>
      </c>
      <c r="I55" s="16">
        <v>4</v>
      </c>
      <c r="J55" s="16">
        <v>5</v>
      </c>
      <c r="K55" s="16">
        <v>6</v>
      </c>
      <c r="L55" s="16">
        <v>7</v>
      </c>
      <c r="M55" s="16">
        <v>8</v>
      </c>
      <c r="N55" s="16">
        <v>9</v>
      </c>
      <c r="O55" s="16">
        <v>10</v>
      </c>
      <c r="P55" s="16">
        <v>11</v>
      </c>
      <c r="Q55" s="16">
        <v>12</v>
      </c>
      <c r="R55" s="16">
        <v>13</v>
      </c>
      <c r="S55" s="16">
        <v>14</v>
      </c>
      <c r="T55" s="16">
        <v>15</v>
      </c>
      <c r="U55" s="1"/>
      <c r="AB55" s="33"/>
      <c r="AC55" s="33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8" t="s">
        <v>3</v>
      </c>
      <c r="G56" s="18" t="s">
        <v>4</v>
      </c>
      <c r="H56" s="17" t="s">
        <v>5</v>
      </c>
      <c r="I56" s="18" t="s">
        <v>6</v>
      </c>
      <c r="J56" s="18" t="s">
        <v>7</v>
      </c>
      <c r="K56" s="18" t="s">
        <v>8</v>
      </c>
      <c r="L56" s="18" t="s">
        <v>9</v>
      </c>
      <c r="M56" s="17" t="s">
        <v>10</v>
      </c>
      <c r="N56" s="18" t="s">
        <v>11</v>
      </c>
      <c r="O56" s="18" t="s">
        <v>12</v>
      </c>
      <c r="P56" s="18" t="s">
        <v>13</v>
      </c>
      <c r="Q56" s="18" t="s">
        <v>14</v>
      </c>
      <c r="R56" s="18" t="s">
        <v>15</v>
      </c>
      <c r="S56" s="18" t="s">
        <v>16</v>
      </c>
      <c r="T56" s="17" t="s">
        <v>17</v>
      </c>
      <c r="U56" s="1"/>
      <c r="AB56" s="33"/>
      <c r="AC56" s="33"/>
      <c r="AD56" s="1"/>
      <c r="AE56" s="1"/>
      <c r="AF56" s="1"/>
    </row>
    <row r="57" spans="1:32" ht="15.75" customHeight="1">
      <c r="A57" s="1"/>
      <c r="B57" s="1"/>
      <c r="C57" s="1"/>
      <c r="D57" s="1"/>
      <c r="E57" s="19" t="s">
        <v>18</v>
      </c>
      <c r="F57" s="21">
        <v>0</v>
      </c>
      <c r="G57" s="21">
        <v>0</v>
      </c>
      <c r="H57" s="20">
        <f t="shared" ref="H57:L57" si="5">1/3</f>
        <v>0.33333333333333331</v>
      </c>
      <c r="I57" s="21">
        <f t="shared" si="5"/>
        <v>0.33333333333333331</v>
      </c>
      <c r="J57" s="21">
        <f t="shared" si="5"/>
        <v>0.33333333333333331</v>
      </c>
      <c r="K57" s="21">
        <f t="shared" si="5"/>
        <v>0.33333333333333331</v>
      </c>
      <c r="L57" s="21">
        <f t="shared" si="5"/>
        <v>0.33333333333333331</v>
      </c>
      <c r="M57" s="20">
        <f t="shared" ref="M57:S57" si="6">2/3</f>
        <v>0.66666666666666663</v>
      </c>
      <c r="N57" s="21">
        <f t="shared" si="6"/>
        <v>0.66666666666666663</v>
      </c>
      <c r="O57" s="21">
        <f t="shared" si="6"/>
        <v>0.66666666666666663</v>
      </c>
      <c r="P57" s="21">
        <f t="shared" si="6"/>
        <v>0.66666666666666663</v>
      </c>
      <c r="Q57" s="21">
        <f t="shared" si="6"/>
        <v>0.66666666666666663</v>
      </c>
      <c r="R57" s="21">
        <f t="shared" si="6"/>
        <v>0.66666666666666663</v>
      </c>
      <c r="S57" s="21">
        <f t="shared" si="6"/>
        <v>0.66666666666666663</v>
      </c>
      <c r="T57" s="20">
        <f>3/3</f>
        <v>1</v>
      </c>
      <c r="U57" s="1"/>
      <c r="Y57" s="1"/>
      <c r="Z57" s="1"/>
      <c r="AA57" s="1"/>
      <c r="AB57" s="33"/>
      <c r="AC57" s="33"/>
      <c r="AD57" s="1"/>
      <c r="AE57" s="1"/>
      <c r="AF57" s="1"/>
    </row>
    <row r="58" spans="1:32" ht="15.75" customHeight="1">
      <c r="A58" s="1"/>
      <c r="B58" s="1"/>
      <c r="C58" s="1"/>
      <c r="D58" s="1"/>
      <c r="E58" s="19" t="s">
        <v>19</v>
      </c>
      <c r="F58" s="21">
        <v>0</v>
      </c>
      <c r="G58" s="21">
        <f>0/2</f>
        <v>0</v>
      </c>
      <c r="H58" s="21">
        <f>1/3</f>
        <v>0.33333333333333331</v>
      </c>
      <c r="I58" s="21">
        <f>1/4</f>
        <v>0.25</v>
      </c>
      <c r="J58" s="21">
        <f>1/5</f>
        <v>0.2</v>
      </c>
      <c r="K58" s="21">
        <f>1/6</f>
        <v>0.16666666666666666</v>
      </c>
      <c r="L58" s="21">
        <f>1/7</f>
        <v>0.14285714285714285</v>
      </c>
      <c r="M58" s="21">
        <f>2/8</f>
        <v>0.25</v>
      </c>
      <c r="N58" s="21">
        <f>2/9</f>
        <v>0.22222222222222221</v>
      </c>
      <c r="O58" s="21">
        <f>2/10</f>
        <v>0.2</v>
      </c>
      <c r="P58" s="21">
        <f>2/11</f>
        <v>0.18181818181818182</v>
      </c>
      <c r="Q58" s="21">
        <f>2/12</f>
        <v>0.16666666666666666</v>
      </c>
      <c r="R58" s="21">
        <f>2/13</f>
        <v>0.15384615384615385</v>
      </c>
      <c r="S58" s="21">
        <f>2/14</f>
        <v>0.14285714285714285</v>
      </c>
      <c r="T58" s="21">
        <f>3/15</f>
        <v>0.2</v>
      </c>
      <c r="U58" s="1"/>
      <c r="Y58" s="1"/>
      <c r="Z58" s="1"/>
      <c r="AA58" s="1"/>
      <c r="AB58" s="33"/>
      <c r="AC58" s="33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Y59" s="1"/>
      <c r="Z59" s="1"/>
      <c r="AA59" s="1"/>
      <c r="AB59" s="33"/>
      <c r="AC59" s="33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50" t="s">
        <v>20</v>
      </c>
      <c r="S60" s="51">
        <f>AVERAGE(F58:T58)</f>
        <v>0.17401783401783399</v>
      </c>
      <c r="T60" s="1"/>
      <c r="U60" s="1"/>
      <c r="Y60" s="1"/>
      <c r="Z60" s="1"/>
      <c r="AA60" s="1"/>
      <c r="AB60" s="33"/>
      <c r="AC60" s="33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T61" s="1"/>
      <c r="U61" s="1"/>
      <c r="Y61" s="1"/>
      <c r="Z61" s="1"/>
      <c r="AA61" s="1"/>
      <c r="AB61" s="34"/>
      <c r="AC61" s="34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35"/>
      <c r="W63" s="35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5"/>
      <c r="W64" s="35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36" t="s">
        <v>21</v>
      </c>
      <c r="S65" s="46" t="s">
        <v>22</v>
      </c>
      <c r="T65" s="47" t="s">
        <v>23</v>
      </c>
      <c r="U65" s="1"/>
      <c r="V65" s="35"/>
      <c r="W65" s="35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45">
        <v>0</v>
      </c>
      <c r="S66" s="49">
        <f>S67</f>
        <v>0.33333333333333331</v>
      </c>
      <c r="T66" s="49">
        <f>S66</f>
        <v>0.33333333333333331</v>
      </c>
      <c r="U66" s="1"/>
      <c r="V66" s="35"/>
      <c r="W66" s="35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8"/>
      <c r="N67" s="1"/>
      <c r="P67" s="1"/>
      <c r="Q67" s="1"/>
      <c r="R67" s="45">
        <v>0.1</v>
      </c>
      <c r="S67" s="49">
        <f>S68</f>
        <v>0.33333333333333331</v>
      </c>
      <c r="T67" s="49">
        <f>S67</f>
        <v>0.33333333333333331</v>
      </c>
      <c r="U67" s="1"/>
      <c r="V67" s="35"/>
      <c r="W67" s="35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45">
        <v>0.2</v>
      </c>
      <c r="S68" s="49">
        <f>S69</f>
        <v>0.33333333333333331</v>
      </c>
      <c r="T68" s="49">
        <f>S68</f>
        <v>0.33333333333333331</v>
      </c>
      <c r="U68" s="1"/>
      <c r="V68" s="35"/>
      <c r="W68" s="35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45">
        <v>0.3</v>
      </c>
      <c r="S69" s="49">
        <f>H58</f>
        <v>0.33333333333333331</v>
      </c>
      <c r="T69" s="49">
        <f>S69</f>
        <v>0.33333333333333331</v>
      </c>
      <c r="U69" s="1"/>
      <c r="V69" s="35"/>
      <c r="W69" s="35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45">
        <v>0.4</v>
      </c>
      <c r="S70" s="49">
        <f>S71</f>
        <v>0.25</v>
      </c>
      <c r="T70" s="48">
        <f t="shared" ref="T70:T75" si="7">S70</f>
        <v>0.25</v>
      </c>
      <c r="U70" s="1"/>
      <c r="V70" s="35"/>
      <c r="W70" s="35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45">
        <v>0.5</v>
      </c>
      <c r="S71" s="49">
        <f>S72</f>
        <v>0.25</v>
      </c>
      <c r="T71" s="48">
        <f t="shared" si="7"/>
        <v>0.25</v>
      </c>
      <c r="U71" s="1"/>
      <c r="V71" s="35"/>
      <c r="W71" s="35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45">
        <v>0.6</v>
      </c>
      <c r="S72" s="49">
        <f>M58</f>
        <v>0.25</v>
      </c>
      <c r="T72" s="48">
        <f t="shared" si="7"/>
        <v>0.25</v>
      </c>
      <c r="U72" s="1"/>
      <c r="V72" s="35"/>
      <c r="W72" s="35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45">
        <v>0.7</v>
      </c>
      <c r="S73" s="48">
        <v>0.2</v>
      </c>
      <c r="T73" s="48">
        <f t="shared" si="7"/>
        <v>0.2</v>
      </c>
      <c r="U73" s="1"/>
      <c r="V73" s="35"/>
      <c r="W73" s="35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45">
        <v>0.8</v>
      </c>
      <c r="S74" s="48">
        <v>0.2</v>
      </c>
      <c r="T74" s="48">
        <f t="shared" si="7"/>
        <v>0.2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45">
        <v>0.9</v>
      </c>
      <c r="S75" s="48">
        <v>0.2</v>
      </c>
      <c r="T75" s="48">
        <f t="shared" si="7"/>
        <v>0.2</v>
      </c>
      <c r="U75" s="1"/>
      <c r="V75" s="28"/>
      <c r="W75" s="28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45">
        <v>1</v>
      </c>
      <c r="S76" s="48">
        <v>0.2</v>
      </c>
      <c r="T76" s="48">
        <f>S76</f>
        <v>0.2</v>
      </c>
      <c r="U76" s="1"/>
      <c r="V76" s="28"/>
      <c r="W76" s="28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3"/>
      <c r="L94" s="3"/>
      <c r="M94" s="3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5"/>
      <c r="K95" s="6"/>
      <c r="L95" s="7" t="s">
        <v>26</v>
      </c>
      <c r="M95" s="6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9"/>
      <c r="K96" s="10"/>
      <c r="L96" s="10"/>
      <c r="M96" s="10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2" t="s">
        <v>1</v>
      </c>
      <c r="G97" s="13">
        <v>10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2" t="s">
        <v>2</v>
      </c>
      <c r="G98" s="14">
        <v>15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Y101" s="15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Y102" s="15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Y103" s="15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Y104" s="15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Y105" s="15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39">
        <v>1</v>
      </c>
      <c r="G106" s="39">
        <v>2</v>
      </c>
      <c r="H106" s="39">
        <v>3</v>
      </c>
      <c r="I106" s="39">
        <v>4</v>
      </c>
      <c r="J106" s="39">
        <v>5</v>
      </c>
      <c r="K106" s="39">
        <v>6</v>
      </c>
      <c r="L106" s="39">
        <v>7</v>
      </c>
      <c r="M106" s="39">
        <v>8</v>
      </c>
      <c r="N106" s="39">
        <v>9</v>
      </c>
      <c r="O106" s="39">
        <v>10</v>
      </c>
      <c r="P106" s="39">
        <v>11</v>
      </c>
      <c r="Q106" s="39">
        <v>12</v>
      </c>
      <c r="R106" s="39">
        <v>13</v>
      </c>
      <c r="S106" s="39">
        <v>14</v>
      </c>
      <c r="T106" s="39">
        <v>15</v>
      </c>
      <c r="U106" s="1"/>
      <c r="Y106" s="15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40" t="s">
        <v>4</v>
      </c>
      <c r="G107" s="17" t="s">
        <v>12</v>
      </c>
      <c r="H107" s="40" t="s">
        <v>6</v>
      </c>
      <c r="I107" s="17" t="s">
        <v>5</v>
      </c>
      <c r="J107" s="40" t="s">
        <v>7</v>
      </c>
      <c r="K107" s="17" t="s">
        <v>8</v>
      </c>
      <c r="L107" s="40" t="s">
        <v>9</v>
      </c>
      <c r="M107" s="40" t="s">
        <v>10</v>
      </c>
      <c r="N107" s="40" t="s">
        <v>11</v>
      </c>
      <c r="O107" s="17" t="s">
        <v>3</v>
      </c>
      <c r="P107" s="40" t="s">
        <v>13</v>
      </c>
      <c r="Q107" s="40" t="s">
        <v>14</v>
      </c>
      <c r="R107" s="40" t="s">
        <v>15</v>
      </c>
      <c r="S107" s="40" t="s">
        <v>16</v>
      </c>
      <c r="T107" s="40" t="s">
        <v>27</v>
      </c>
      <c r="U107" s="1"/>
      <c r="Y107" s="15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9" t="s">
        <v>18</v>
      </c>
      <c r="F108" s="41">
        <f>0/10</f>
        <v>0</v>
      </c>
      <c r="G108" s="42">
        <f t="shared" ref="G108:H108" si="8">1/10</f>
        <v>0.1</v>
      </c>
      <c r="H108" s="41">
        <f t="shared" si="8"/>
        <v>0.1</v>
      </c>
      <c r="I108" s="42">
        <f t="shared" ref="I108:J108" si="9">2/10</f>
        <v>0.2</v>
      </c>
      <c r="J108" s="41">
        <f t="shared" si="9"/>
        <v>0.2</v>
      </c>
      <c r="K108" s="42">
        <f t="shared" ref="K108:N108" si="10">3/10</f>
        <v>0.3</v>
      </c>
      <c r="L108" s="41">
        <f t="shared" si="10"/>
        <v>0.3</v>
      </c>
      <c r="M108" s="41">
        <f t="shared" si="10"/>
        <v>0.3</v>
      </c>
      <c r="N108" s="41">
        <f t="shared" si="10"/>
        <v>0.3</v>
      </c>
      <c r="O108" s="42">
        <f t="shared" ref="O108:T108" si="11">4/10</f>
        <v>0.4</v>
      </c>
      <c r="P108" s="41">
        <f t="shared" si="11"/>
        <v>0.4</v>
      </c>
      <c r="Q108" s="41">
        <f t="shared" si="11"/>
        <v>0.4</v>
      </c>
      <c r="R108" s="41">
        <f t="shared" si="11"/>
        <v>0.4</v>
      </c>
      <c r="S108" s="41">
        <f t="shared" si="11"/>
        <v>0.4</v>
      </c>
      <c r="T108" s="41">
        <f t="shared" si="11"/>
        <v>0.4</v>
      </c>
      <c r="U108" s="1"/>
      <c r="Y108" s="15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9" t="s">
        <v>19</v>
      </c>
      <c r="F109" s="41">
        <f>0/1</f>
        <v>0</v>
      </c>
      <c r="G109" s="41">
        <f>1/2</f>
        <v>0.5</v>
      </c>
      <c r="H109" s="41">
        <f>1/3</f>
        <v>0.33333333333333331</v>
      </c>
      <c r="I109" s="41">
        <f>2/4</f>
        <v>0.5</v>
      </c>
      <c r="J109" s="41">
        <f>2/5</f>
        <v>0.4</v>
      </c>
      <c r="K109" s="41">
        <f>3/6</f>
        <v>0.5</v>
      </c>
      <c r="L109" s="41">
        <f>3/7</f>
        <v>0.42857142857142855</v>
      </c>
      <c r="M109" s="41">
        <f>3/8</f>
        <v>0.375</v>
      </c>
      <c r="N109" s="41">
        <f>3/9</f>
        <v>0.33333333333333331</v>
      </c>
      <c r="O109" s="41">
        <f>4/10</f>
        <v>0.4</v>
      </c>
      <c r="P109" s="41">
        <f>4/11</f>
        <v>0.36363636363636365</v>
      </c>
      <c r="Q109" s="41">
        <f>4/12</f>
        <v>0.33333333333333331</v>
      </c>
      <c r="R109" s="41">
        <f>4/13</f>
        <v>0.30769230769230771</v>
      </c>
      <c r="S109" s="41">
        <f>4/14</f>
        <v>0.2857142857142857</v>
      </c>
      <c r="T109" s="41">
        <f>4/15</f>
        <v>0.26666666666666666</v>
      </c>
      <c r="U109" s="1"/>
      <c r="Y109" s="15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Y110" s="15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2" t="s">
        <v>20</v>
      </c>
      <c r="S111" s="22">
        <f>AVERAGE(F109:T109)</f>
        <v>0.35515207015207012</v>
      </c>
      <c r="T111" s="1"/>
      <c r="U111" s="1"/>
      <c r="Y111" s="15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23" t="s">
        <v>21</v>
      </c>
      <c r="S115" s="24" t="s">
        <v>22</v>
      </c>
      <c r="T115" s="23" t="s">
        <v>23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26">
        <v>0</v>
      </c>
      <c r="S116" s="27">
        <f>G109</f>
        <v>0.5</v>
      </c>
      <c r="T116" s="27">
        <f t="shared" ref="T116:T120" si="12">S116</f>
        <v>0.5</v>
      </c>
      <c r="U116" s="1"/>
      <c r="V116" s="25"/>
      <c r="W116" s="25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29">
        <v>0.1</v>
      </c>
      <c r="S117" s="27">
        <f>G109</f>
        <v>0.5</v>
      </c>
      <c r="T117" s="27">
        <f t="shared" si="12"/>
        <v>0.5</v>
      </c>
      <c r="U117" s="1"/>
      <c r="V117" s="28"/>
      <c r="W117" s="28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M118" s="1"/>
      <c r="N118" s="1"/>
      <c r="P118" s="1"/>
      <c r="Q118" s="1"/>
      <c r="R118" s="26">
        <v>0.2</v>
      </c>
      <c r="S118" s="27">
        <f>I109</f>
        <v>0.5</v>
      </c>
      <c r="T118" s="27">
        <f t="shared" si="12"/>
        <v>0.5</v>
      </c>
      <c r="U118" s="1"/>
      <c r="V118" s="28"/>
      <c r="W118" s="28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29">
        <v>0.3</v>
      </c>
      <c r="S119" s="27">
        <f>K109</f>
        <v>0.5</v>
      </c>
      <c r="T119" s="27">
        <f t="shared" si="12"/>
        <v>0.5</v>
      </c>
      <c r="U119" s="1"/>
      <c r="V119" s="28"/>
      <c r="W119" s="28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1"/>
      <c r="N120" s="1"/>
      <c r="O120" s="1"/>
      <c r="P120" s="1"/>
      <c r="Q120" s="1"/>
      <c r="R120" s="26">
        <v>0.4</v>
      </c>
      <c r="S120" s="27">
        <f>O109</f>
        <v>0.4</v>
      </c>
      <c r="T120" s="27">
        <f t="shared" si="12"/>
        <v>0.4</v>
      </c>
      <c r="U120" s="1"/>
      <c r="V120" s="28"/>
      <c r="W120" s="28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29">
        <v>0.5</v>
      </c>
      <c r="S121" s="29">
        <v>0</v>
      </c>
      <c r="T121" s="29">
        <v>0</v>
      </c>
      <c r="U121" s="1"/>
      <c r="V121" s="28"/>
      <c r="W121" s="28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26">
        <v>0.6</v>
      </c>
      <c r="S122" s="26">
        <v>0</v>
      </c>
      <c r="T122" s="26">
        <v>0</v>
      </c>
      <c r="U122" s="1"/>
      <c r="V122" s="28"/>
      <c r="W122" s="28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29">
        <v>0.7</v>
      </c>
      <c r="S123" s="29">
        <v>0</v>
      </c>
      <c r="T123" s="29">
        <v>0</v>
      </c>
      <c r="U123" s="1"/>
      <c r="V123" s="28"/>
      <c r="W123" s="28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26">
        <v>0.8</v>
      </c>
      <c r="S124" s="26">
        <v>0</v>
      </c>
      <c r="T124" s="26">
        <v>0</v>
      </c>
      <c r="U124" s="1"/>
      <c r="V124" s="28"/>
      <c r="W124" s="28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29">
        <v>0.9</v>
      </c>
      <c r="S125" s="29">
        <v>0</v>
      </c>
      <c r="T125" s="29">
        <v>0</v>
      </c>
      <c r="U125" s="1"/>
      <c r="V125" s="28"/>
      <c r="W125" s="28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6">
        <v>1</v>
      </c>
      <c r="S126" s="26">
        <v>0</v>
      </c>
      <c r="T126" s="26">
        <v>0</v>
      </c>
      <c r="U126" s="1"/>
      <c r="V126" s="28"/>
      <c r="W126" s="28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8"/>
      <c r="W127" s="28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2" t="s">
        <v>1</v>
      </c>
      <c r="G137" s="13">
        <v>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2" t="s">
        <v>2</v>
      </c>
      <c r="G138" s="14">
        <v>15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Y141" s="1"/>
      <c r="Z141" s="1"/>
      <c r="AA141" s="1"/>
      <c r="AB141" s="32"/>
      <c r="AC141" s="32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Y142" s="1"/>
      <c r="Z142" s="1"/>
      <c r="AA142" s="1"/>
      <c r="AB142" s="33"/>
      <c r="AC142" s="43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Y143" s="1"/>
      <c r="Z143" s="1"/>
      <c r="AA143" s="1"/>
      <c r="AB143" s="33"/>
      <c r="AC143" s="43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Y144" s="1"/>
      <c r="Z144" s="1"/>
      <c r="AA144" s="1"/>
      <c r="AB144" s="33"/>
      <c r="AC144" s="43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Y145" s="1"/>
      <c r="Z145" s="1"/>
      <c r="AA145" s="1"/>
      <c r="AB145" s="33"/>
      <c r="AC145" s="43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6">
        <v>1</v>
      </c>
      <c r="G146" s="16">
        <v>2</v>
      </c>
      <c r="H146" s="16">
        <v>3</v>
      </c>
      <c r="I146" s="16">
        <v>4</v>
      </c>
      <c r="J146" s="16">
        <v>5</v>
      </c>
      <c r="K146" s="16">
        <v>6</v>
      </c>
      <c r="L146" s="16">
        <v>7</v>
      </c>
      <c r="M146" s="16">
        <v>8</v>
      </c>
      <c r="N146" s="16">
        <v>9</v>
      </c>
      <c r="O146" s="16">
        <v>10</v>
      </c>
      <c r="P146" s="16">
        <v>11</v>
      </c>
      <c r="Q146" s="16">
        <v>12</v>
      </c>
      <c r="R146" s="16">
        <v>13</v>
      </c>
      <c r="S146" s="16">
        <v>14</v>
      </c>
      <c r="T146" s="16">
        <v>15</v>
      </c>
      <c r="U146" s="1"/>
      <c r="Y146" s="1"/>
      <c r="Z146" s="1"/>
      <c r="AA146" s="1"/>
      <c r="AB146" s="33"/>
      <c r="AC146" s="43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40" t="s">
        <v>3</v>
      </c>
      <c r="G147" s="40" t="s">
        <v>4</v>
      </c>
      <c r="H147" s="17" t="s">
        <v>5</v>
      </c>
      <c r="I147" s="40" t="s">
        <v>6</v>
      </c>
      <c r="J147" s="40" t="s">
        <v>7</v>
      </c>
      <c r="K147" s="40" t="s">
        <v>8</v>
      </c>
      <c r="L147" s="40" t="s">
        <v>9</v>
      </c>
      <c r="M147" s="17" t="s">
        <v>10</v>
      </c>
      <c r="N147" s="40" t="s">
        <v>11</v>
      </c>
      <c r="O147" s="40" t="s">
        <v>12</v>
      </c>
      <c r="P147" s="40" t="s">
        <v>13</v>
      </c>
      <c r="Q147" s="40" t="s">
        <v>14</v>
      </c>
      <c r="R147" s="40" t="s">
        <v>15</v>
      </c>
      <c r="S147" s="40" t="s">
        <v>16</v>
      </c>
      <c r="T147" s="17" t="s">
        <v>17</v>
      </c>
      <c r="U147" s="1"/>
      <c r="Y147" s="1"/>
      <c r="Z147" s="1"/>
      <c r="AA147" s="1"/>
      <c r="AB147" s="33"/>
      <c r="AC147" s="43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9" t="s">
        <v>18</v>
      </c>
      <c r="F148" s="21">
        <f t="shared" ref="F148:G148" si="13">0/3</f>
        <v>0</v>
      </c>
      <c r="G148" s="21">
        <f t="shared" si="13"/>
        <v>0</v>
      </c>
      <c r="H148" s="20">
        <f t="shared" ref="H148:L148" si="14">1/3</f>
        <v>0.33333333333333331</v>
      </c>
      <c r="I148" s="21">
        <f t="shared" si="14"/>
        <v>0.33333333333333331</v>
      </c>
      <c r="J148" s="21">
        <f t="shared" si="14"/>
        <v>0.33333333333333331</v>
      </c>
      <c r="K148" s="21">
        <f t="shared" si="14"/>
        <v>0.33333333333333331</v>
      </c>
      <c r="L148" s="21">
        <f t="shared" si="14"/>
        <v>0.33333333333333331</v>
      </c>
      <c r="M148" s="20">
        <f t="shared" ref="M148:S148" si="15">2/3</f>
        <v>0.66666666666666663</v>
      </c>
      <c r="N148" s="21">
        <f t="shared" si="15"/>
        <v>0.66666666666666663</v>
      </c>
      <c r="O148" s="21">
        <f t="shared" si="15"/>
        <v>0.66666666666666663</v>
      </c>
      <c r="P148" s="21">
        <f t="shared" si="15"/>
        <v>0.66666666666666663</v>
      </c>
      <c r="Q148" s="21">
        <f t="shared" si="15"/>
        <v>0.66666666666666663</v>
      </c>
      <c r="R148" s="21">
        <f t="shared" si="15"/>
        <v>0.66666666666666663</v>
      </c>
      <c r="S148" s="21">
        <f t="shared" si="15"/>
        <v>0.66666666666666663</v>
      </c>
      <c r="T148" s="20">
        <f>3/3</f>
        <v>1</v>
      </c>
      <c r="U148" s="1"/>
      <c r="Y148" s="1"/>
      <c r="Z148" s="1"/>
      <c r="AA148" s="1"/>
      <c r="AB148" s="33"/>
      <c r="AC148" s="43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9" t="s">
        <v>19</v>
      </c>
      <c r="F149" s="21">
        <f>0/1</f>
        <v>0</v>
      </c>
      <c r="G149" s="21">
        <f>0/2</f>
        <v>0</v>
      </c>
      <c r="H149" s="21">
        <f>1/3</f>
        <v>0.33333333333333331</v>
      </c>
      <c r="I149" s="21">
        <f>1/4</f>
        <v>0.25</v>
      </c>
      <c r="J149" s="21">
        <f>1/5</f>
        <v>0.2</v>
      </c>
      <c r="K149" s="21">
        <f>1/6</f>
        <v>0.16666666666666666</v>
      </c>
      <c r="L149" s="21">
        <f>1/7</f>
        <v>0.14285714285714285</v>
      </c>
      <c r="M149" s="21">
        <f>2/8</f>
        <v>0.25</v>
      </c>
      <c r="N149" s="21">
        <f>2/9</f>
        <v>0.22222222222222221</v>
      </c>
      <c r="O149" s="21">
        <f>2/10</f>
        <v>0.2</v>
      </c>
      <c r="P149" s="21">
        <f>2/11</f>
        <v>0.18181818181818182</v>
      </c>
      <c r="Q149" s="21">
        <f>2/12</f>
        <v>0.16666666666666666</v>
      </c>
      <c r="R149" s="21">
        <f>2/13</f>
        <v>0.15384615384615385</v>
      </c>
      <c r="S149" s="21">
        <f>2/14</f>
        <v>0.14285714285714285</v>
      </c>
      <c r="T149" s="21">
        <f>3/15</f>
        <v>0.2</v>
      </c>
      <c r="U149" s="1"/>
      <c r="Y149" s="1"/>
      <c r="Z149" s="1"/>
      <c r="AA149" s="1"/>
      <c r="AB149" s="33"/>
      <c r="AC149" s="43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Y150" s="1"/>
      <c r="Z150" s="1"/>
      <c r="AA150" s="1"/>
      <c r="AB150" s="33"/>
      <c r="AC150" s="43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2" t="s">
        <v>20</v>
      </c>
      <c r="S151" s="52">
        <f>AVERAGE(F149:T149)</f>
        <v>0.17401783401783399</v>
      </c>
      <c r="T151" s="1"/>
      <c r="U151" s="1"/>
      <c r="Y151" s="1"/>
      <c r="Z151" s="1"/>
      <c r="AA151" s="1"/>
      <c r="AB151" s="33"/>
      <c r="AC151" s="43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Y152" s="1"/>
      <c r="Z152" s="1"/>
      <c r="AA152" s="1"/>
      <c r="AB152" s="33"/>
      <c r="AC152" s="43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6" t="s">
        <v>21</v>
      </c>
      <c r="S155" s="37" t="s">
        <v>22</v>
      </c>
      <c r="T155" s="36" t="s">
        <v>23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26">
        <v>0</v>
      </c>
      <c r="S156" s="27">
        <f>H149</f>
        <v>0.33333333333333331</v>
      </c>
      <c r="T156" s="21">
        <f t="shared" ref="T156:T166" si="16">S156</f>
        <v>0.33333333333333331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29">
        <v>0.1</v>
      </c>
      <c r="S157" s="27">
        <f>H149</f>
        <v>0.33333333333333331</v>
      </c>
      <c r="T157" s="21">
        <f t="shared" si="16"/>
        <v>0.33333333333333331</v>
      </c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N158" s="1"/>
      <c r="P158" s="1"/>
      <c r="Q158" s="1"/>
      <c r="R158" s="26">
        <v>0.2</v>
      </c>
      <c r="S158" s="27">
        <f>H149</f>
        <v>0.33333333333333331</v>
      </c>
      <c r="T158" s="21">
        <f t="shared" si="16"/>
        <v>0.33333333333333331</v>
      </c>
      <c r="U158" s="1"/>
      <c r="V158" s="25"/>
      <c r="W158" s="25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29">
        <v>0.3</v>
      </c>
      <c r="S159" s="27">
        <f>H149</f>
        <v>0.33333333333333331</v>
      </c>
      <c r="T159" s="21">
        <f t="shared" si="16"/>
        <v>0.33333333333333331</v>
      </c>
      <c r="U159" s="1"/>
      <c r="V159" s="44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26">
        <v>0.4</v>
      </c>
      <c r="S160" s="27">
        <f>M149</f>
        <v>0.25</v>
      </c>
      <c r="T160" s="21">
        <f t="shared" si="16"/>
        <v>0.25</v>
      </c>
      <c r="U160" s="1"/>
      <c r="V160" s="44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29">
        <v>0.5</v>
      </c>
      <c r="S161" s="27">
        <f>M149</f>
        <v>0.25</v>
      </c>
      <c r="T161" s="21">
        <f t="shared" si="16"/>
        <v>0.25</v>
      </c>
      <c r="U161" s="1"/>
      <c r="V161" s="44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26">
        <v>0.6</v>
      </c>
      <c r="S162" s="27">
        <f>M149</f>
        <v>0.25</v>
      </c>
      <c r="T162" s="21">
        <f t="shared" si="16"/>
        <v>0.25</v>
      </c>
      <c r="U162" s="1"/>
      <c r="V162" s="44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29">
        <v>0.7</v>
      </c>
      <c r="S163" s="29">
        <v>0.2</v>
      </c>
      <c r="T163" s="19">
        <f t="shared" si="16"/>
        <v>0.2</v>
      </c>
      <c r="U163" s="1"/>
      <c r="V163" s="44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26">
        <v>0.8</v>
      </c>
      <c r="S164" s="29">
        <v>0.2</v>
      </c>
      <c r="T164" s="19">
        <f t="shared" si="16"/>
        <v>0.2</v>
      </c>
      <c r="U164" s="1"/>
      <c r="V164" s="44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29">
        <v>0.9</v>
      </c>
      <c r="S165" s="29">
        <v>0.2</v>
      </c>
      <c r="T165" s="19">
        <f t="shared" si="16"/>
        <v>0.2</v>
      </c>
      <c r="U165" s="1"/>
      <c r="V165" s="44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26">
        <v>1</v>
      </c>
      <c r="S166" s="26">
        <v>0.2</v>
      </c>
      <c r="T166" s="19">
        <f t="shared" si="16"/>
        <v>0.2</v>
      </c>
      <c r="U166" s="1"/>
      <c r="V166" s="44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44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44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44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J171" s="1"/>
      <c r="K171" s="1"/>
      <c r="L171" s="1"/>
      <c r="M171" s="1"/>
      <c r="N171" s="1"/>
      <c r="O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53" t="s">
        <v>18</v>
      </c>
      <c r="O179" s="54" t="s">
        <v>24</v>
      </c>
      <c r="P179" s="54" t="s">
        <v>25</v>
      </c>
      <c r="Q179" s="58" t="s">
        <v>29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30" t="s">
        <v>18</v>
      </c>
      <c r="E180" s="30" t="s">
        <v>24</v>
      </c>
      <c r="F180" s="30" t="s">
        <v>25</v>
      </c>
      <c r="G180" s="57" t="s">
        <v>28</v>
      </c>
      <c r="H180" s="1"/>
      <c r="I180" s="1"/>
      <c r="J180" s="1"/>
      <c r="K180" s="1"/>
      <c r="L180" s="1"/>
      <c r="M180" s="1"/>
      <c r="N180" s="55">
        <v>0</v>
      </c>
      <c r="O180" s="55">
        <f t="shared" ref="O180:O189" si="17">S116</f>
        <v>0.5</v>
      </c>
      <c r="P180" s="56">
        <f>S156</f>
        <v>0.33333333333333331</v>
      </c>
      <c r="Q180" s="56">
        <f>AVERAGE(O180,P180)</f>
        <v>0.41666666666666663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26">
        <v>0</v>
      </c>
      <c r="E181" s="31">
        <f>S26</f>
        <v>1</v>
      </c>
      <c r="F181" s="31">
        <f>S66</f>
        <v>0.33333333333333331</v>
      </c>
      <c r="G181" s="31">
        <f>AVERAGE(E181,F181)</f>
        <v>0.66666666666666663</v>
      </c>
      <c r="H181" s="1"/>
      <c r="I181" s="1"/>
      <c r="J181" s="1"/>
      <c r="K181" s="1"/>
      <c r="L181" s="1"/>
      <c r="M181" s="1"/>
      <c r="N181" s="55">
        <v>0.1</v>
      </c>
      <c r="O181" s="55">
        <f t="shared" si="17"/>
        <v>0.5</v>
      </c>
      <c r="P181" s="56">
        <f>S157</f>
        <v>0.33333333333333331</v>
      </c>
      <c r="Q181" s="56">
        <f>AVERAGE(O181,P181)</f>
        <v>0.41666666666666663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29">
        <v>0.1</v>
      </c>
      <c r="E182" s="31">
        <f>S27</f>
        <v>1</v>
      </c>
      <c r="F182" s="31">
        <f>S67</f>
        <v>0.33333333333333331</v>
      </c>
      <c r="G182" s="31">
        <f>AVERAGE(E182,F182)</f>
        <v>0.66666666666666663</v>
      </c>
      <c r="H182" s="1"/>
      <c r="I182" s="1"/>
      <c r="J182" s="1"/>
      <c r="K182" s="1"/>
      <c r="L182" s="1"/>
      <c r="M182" s="1"/>
      <c r="N182" s="55">
        <v>0.2</v>
      </c>
      <c r="O182" s="55">
        <f t="shared" si="17"/>
        <v>0.5</v>
      </c>
      <c r="P182" s="56">
        <f>S158</f>
        <v>0.33333333333333331</v>
      </c>
      <c r="Q182" s="56">
        <f>AVERAGE(O182,P182)</f>
        <v>0.41666666666666663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26">
        <v>0.2</v>
      </c>
      <c r="E183" s="31">
        <f>S28</f>
        <v>0.66666666666666663</v>
      </c>
      <c r="F183" s="31">
        <f>S68</f>
        <v>0.33333333333333331</v>
      </c>
      <c r="G183" s="31">
        <f>AVERAGE(E183,F183)</f>
        <v>0.5</v>
      </c>
      <c r="H183" s="1"/>
      <c r="I183" s="1"/>
      <c r="J183" s="1"/>
      <c r="K183" s="1"/>
      <c r="L183" s="1"/>
      <c r="M183" s="1"/>
      <c r="N183" s="55">
        <v>0.3</v>
      </c>
      <c r="O183" s="55">
        <f t="shared" si="17"/>
        <v>0.5</v>
      </c>
      <c r="P183" s="56">
        <f>S159</f>
        <v>0.33333333333333331</v>
      </c>
      <c r="Q183" s="56">
        <f>AVERAGE(O183,P183)</f>
        <v>0.41666666666666663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29">
        <v>0.3</v>
      </c>
      <c r="E184" s="31">
        <f>S29</f>
        <v>0.5</v>
      </c>
      <c r="F184" s="31">
        <f>S69</f>
        <v>0.33333333333333331</v>
      </c>
      <c r="G184" s="31">
        <f>AVERAGE(E184,F184)</f>
        <v>0.41666666666666663</v>
      </c>
      <c r="H184" s="1"/>
      <c r="I184" s="1"/>
      <c r="J184" s="1"/>
      <c r="K184" s="1"/>
      <c r="L184" s="1"/>
      <c r="M184" s="1"/>
      <c r="N184" s="55">
        <v>0.4</v>
      </c>
      <c r="O184" s="55">
        <f t="shared" si="17"/>
        <v>0.4</v>
      </c>
      <c r="P184" s="55">
        <f t="shared" ref="P181:P189" si="18">S160</f>
        <v>0.25</v>
      </c>
      <c r="Q184" s="55">
        <f>AVERAGE(O184,P184)</f>
        <v>0.32500000000000001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26">
        <v>0.4</v>
      </c>
      <c r="E185" s="31">
        <f>S30</f>
        <v>0.4</v>
      </c>
      <c r="F185" s="16">
        <f>S70</f>
        <v>0.25</v>
      </c>
      <c r="G185" s="31">
        <f>AVERAGE(E185,F185)</f>
        <v>0.32500000000000001</v>
      </c>
      <c r="H185" s="1"/>
      <c r="I185" s="1"/>
      <c r="J185" s="1"/>
      <c r="K185" s="1"/>
      <c r="L185" s="1"/>
      <c r="M185" s="1"/>
      <c r="N185" s="55">
        <v>0.5</v>
      </c>
      <c r="O185" s="55">
        <f t="shared" si="17"/>
        <v>0</v>
      </c>
      <c r="P185" s="55">
        <f t="shared" si="18"/>
        <v>0.25</v>
      </c>
      <c r="Q185" s="55">
        <f t="shared" ref="Q180:Q189" si="19">AVERAGE(O185,P185)</f>
        <v>0.125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29">
        <v>0.5</v>
      </c>
      <c r="E186" s="31">
        <f>S31</f>
        <v>0.33333333333333331</v>
      </c>
      <c r="F186" s="16">
        <f>S71</f>
        <v>0.25</v>
      </c>
      <c r="G186" s="31">
        <f>AVERAGE(E186,F186)</f>
        <v>0.29166666666666663</v>
      </c>
      <c r="H186" s="1"/>
      <c r="I186" s="1"/>
      <c r="J186" s="1"/>
      <c r="K186" s="1"/>
      <c r="L186" s="1"/>
      <c r="M186" s="1"/>
      <c r="N186" s="55">
        <v>0.6</v>
      </c>
      <c r="O186" s="55">
        <f t="shared" si="17"/>
        <v>0</v>
      </c>
      <c r="P186" s="55">
        <f t="shared" si="18"/>
        <v>0.25</v>
      </c>
      <c r="Q186" s="55">
        <f t="shared" si="19"/>
        <v>0.125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26">
        <v>0.6</v>
      </c>
      <c r="E187" s="16">
        <f>S32</f>
        <v>0</v>
      </c>
      <c r="F187" s="16">
        <f>S72</f>
        <v>0.25</v>
      </c>
      <c r="G187" s="16">
        <f>AVERAGE(E187,F187)</f>
        <v>0.125</v>
      </c>
      <c r="H187" s="1"/>
      <c r="I187" s="1"/>
      <c r="J187" s="1"/>
      <c r="K187" s="1"/>
      <c r="L187" s="1"/>
      <c r="M187" s="1"/>
      <c r="N187" s="55">
        <v>0.7</v>
      </c>
      <c r="O187" s="55">
        <f t="shared" si="17"/>
        <v>0</v>
      </c>
      <c r="P187" s="55">
        <f t="shared" si="18"/>
        <v>0.2</v>
      </c>
      <c r="Q187" s="55">
        <f t="shared" si="19"/>
        <v>0.1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29">
        <v>0.7</v>
      </c>
      <c r="E188" s="16">
        <f>S33</f>
        <v>0</v>
      </c>
      <c r="F188" s="16">
        <f>S73</f>
        <v>0.2</v>
      </c>
      <c r="G188" s="16">
        <f>AVERAGE(E188,F188)</f>
        <v>0.1</v>
      </c>
      <c r="H188" s="1"/>
      <c r="I188" s="1"/>
      <c r="J188" s="1"/>
      <c r="K188" s="1"/>
      <c r="L188" s="1"/>
      <c r="M188" s="1"/>
      <c r="N188" s="55">
        <v>0.8</v>
      </c>
      <c r="O188" s="55">
        <f t="shared" si="17"/>
        <v>0</v>
      </c>
      <c r="P188" s="55">
        <f t="shared" si="18"/>
        <v>0.2</v>
      </c>
      <c r="Q188" s="55">
        <f t="shared" si="19"/>
        <v>0.1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26">
        <v>0.8</v>
      </c>
      <c r="E189" s="16">
        <f>S34</f>
        <v>0</v>
      </c>
      <c r="F189" s="16">
        <f>S74</f>
        <v>0.2</v>
      </c>
      <c r="G189" s="16">
        <f>AVERAGE(E189,F189)</f>
        <v>0.1</v>
      </c>
      <c r="H189" s="1"/>
      <c r="I189" s="1"/>
      <c r="J189" s="1"/>
      <c r="K189" s="1"/>
      <c r="L189" s="1"/>
      <c r="M189" s="1"/>
      <c r="N189" s="55">
        <v>0.9</v>
      </c>
      <c r="O189" s="55">
        <f t="shared" si="17"/>
        <v>0</v>
      </c>
      <c r="P189" s="55">
        <f t="shared" si="18"/>
        <v>0.2</v>
      </c>
      <c r="Q189" s="55">
        <f t="shared" si="19"/>
        <v>0.1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29">
        <v>0.9</v>
      </c>
      <c r="E190" s="16">
        <f>S35</f>
        <v>0</v>
      </c>
      <c r="F190" s="16">
        <f>S75</f>
        <v>0.2</v>
      </c>
      <c r="G190" s="16">
        <f>AVERAGE(E190,F190)</f>
        <v>0.1</v>
      </c>
      <c r="H190" s="1"/>
      <c r="I190" s="1"/>
      <c r="J190" s="1"/>
      <c r="K190" s="1"/>
      <c r="L190" s="1"/>
      <c r="M190" s="1"/>
      <c r="N190" s="55">
        <v>1</v>
      </c>
      <c r="O190" s="55">
        <f>S126</f>
        <v>0</v>
      </c>
      <c r="P190" s="55">
        <f>S166</f>
        <v>0.2</v>
      </c>
      <c r="Q190" s="55">
        <f>AVERAGE(O190,P190)</f>
        <v>0.1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26">
        <v>1</v>
      </c>
      <c r="E191" s="16">
        <f>S36</f>
        <v>0</v>
      </c>
      <c r="F191" s="16">
        <f>S76</f>
        <v>0.2</v>
      </c>
      <c r="G191" s="16">
        <f>AVERAGE(E191,F191)</f>
        <v>0.1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LEONARDUS DALE MASAN</dc:creator>
  <cp:lastModifiedBy>LEONARDUS DALE MASAN</cp:lastModifiedBy>
  <dcterms:created xsi:type="dcterms:W3CDTF">2026-03-12T11:04:27Z</dcterms:created>
  <dcterms:modified xsi:type="dcterms:W3CDTF">2026-03-26T08:42:06Z</dcterms:modified>
</cp:coreProperties>
</file>