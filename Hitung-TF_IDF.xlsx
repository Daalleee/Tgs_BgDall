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leno\Dokumen\TUGAS SEMESTER 6\PI\"/>
    </mc:Choice>
  </mc:AlternateContent>
  <xr:revisionPtr revIDLastSave="0" documentId="13_ncr:1_{C1EBF9DA-8F11-4A61-A6A3-68ED71E5D679}" xr6:coauthVersionLast="47" xr6:coauthVersionMax="47" xr10:uidLastSave="{00000000-0000-0000-0000-000000000000}"/>
  <bookViews>
    <workbookView xWindow="-120" yWindow="-120" windowWidth="20730" windowHeight="11760" xr2:uid="{DF6BCAE2-E285-4E5B-B25C-847417CB4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N8" i="1" s="1"/>
  <c r="J9" i="1"/>
  <c r="N9" i="1" s="1"/>
  <c r="V9" i="1" s="1"/>
  <c r="J10" i="1"/>
  <c r="N10" i="1" s="1"/>
  <c r="V10" i="1" s="1"/>
  <c r="J11" i="1"/>
  <c r="N11" i="1" s="1"/>
  <c r="V11" i="1" s="1"/>
  <c r="J12" i="1"/>
  <c r="N12" i="1" s="1"/>
  <c r="J13" i="1"/>
  <c r="N13" i="1" s="1"/>
  <c r="V13" i="1" s="1"/>
  <c r="J14" i="1"/>
  <c r="N14" i="1" s="1"/>
  <c r="V14" i="1" s="1"/>
  <c r="J15" i="1"/>
  <c r="N15" i="1" s="1"/>
  <c r="J16" i="1"/>
  <c r="N16" i="1" s="1"/>
  <c r="V16" i="1" s="1"/>
  <c r="J17" i="1"/>
  <c r="N17" i="1" s="1"/>
  <c r="J7" i="1"/>
  <c r="N7" i="1" s="1"/>
  <c r="I18" i="1"/>
  <c r="V8" i="1" l="1"/>
  <c r="V12" i="1"/>
  <c r="V15" i="1"/>
  <c r="V17" i="1"/>
  <c r="V7" i="1"/>
  <c r="V18" i="1"/>
  <c r="N18" i="1" s="1"/>
  <c r="M8" i="1"/>
  <c r="K8" i="1"/>
  <c r="L8" i="1"/>
  <c r="M9" i="1"/>
  <c r="K9" i="1"/>
  <c r="L9" i="1"/>
  <c r="M10" i="1"/>
  <c r="K10" i="1"/>
  <c r="L10" i="1"/>
  <c r="M11" i="1"/>
  <c r="K11" i="1"/>
  <c r="L11" i="1"/>
  <c r="M12" i="1"/>
  <c r="L12" i="1"/>
  <c r="K12" i="1"/>
  <c r="M13" i="1"/>
  <c r="L13" i="1"/>
  <c r="K13" i="1"/>
  <c r="M14" i="1"/>
  <c r="L14" i="1"/>
  <c r="K14" i="1"/>
  <c r="L15" i="1"/>
  <c r="M15" i="1"/>
  <c r="K15" i="1"/>
  <c r="L16" i="1"/>
  <c r="M16" i="1"/>
  <c r="K16" i="1"/>
  <c r="L17" i="1"/>
  <c r="K17" i="1"/>
  <c r="M17" i="1"/>
  <c r="L7" i="1"/>
  <c r="K7" i="1"/>
  <c r="M7" i="1"/>
  <c r="Y8" i="1" l="1"/>
  <c r="W8" i="1"/>
  <c r="X8" i="1"/>
  <c r="Y9" i="1"/>
  <c r="W9" i="1"/>
  <c r="X9" i="1"/>
  <c r="Y10" i="1"/>
  <c r="W10" i="1"/>
  <c r="X10" i="1"/>
  <c r="Y11" i="1"/>
  <c r="W11" i="1"/>
  <c r="X11" i="1"/>
  <c r="Y12" i="1"/>
  <c r="W12" i="1"/>
  <c r="X12" i="1"/>
  <c r="Y13" i="1"/>
  <c r="W13" i="1"/>
  <c r="X13" i="1"/>
  <c r="X14" i="1"/>
  <c r="Y14" i="1"/>
  <c r="W14" i="1"/>
  <c r="W15" i="1"/>
  <c r="X15" i="1"/>
  <c r="Y15" i="1"/>
  <c r="X16" i="1"/>
  <c r="Y16" i="1"/>
  <c r="W16" i="1"/>
  <c r="X17" i="1"/>
  <c r="Y17" i="1"/>
  <c r="W17" i="1"/>
  <c r="Y7" i="1"/>
  <c r="X7" i="1"/>
  <c r="W7" i="1"/>
  <c r="R12" i="1"/>
  <c r="R15" i="1"/>
  <c r="R17" i="1"/>
  <c r="R8" i="1"/>
  <c r="U8" i="1"/>
  <c r="U18" i="1" s="1"/>
  <c r="M18" i="1" s="1"/>
  <c r="T8" i="1"/>
  <c r="U9" i="1"/>
  <c r="S9" i="1"/>
  <c r="T9" i="1"/>
  <c r="U10" i="1"/>
  <c r="S10" i="1"/>
  <c r="T10" i="1"/>
  <c r="U11" i="1"/>
  <c r="S11" i="1"/>
  <c r="T11" i="1"/>
  <c r="U12" i="1"/>
  <c r="T12" i="1"/>
  <c r="S12" i="1"/>
  <c r="U13" i="1"/>
  <c r="T13" i="1"/>
  <c r="S13" i="1"/>
  <c r="U14" i="1"/>
  <c r="T14" i="1"/>
  <c r="S14" i="1"/>
  <c r="T15" i="1"/>
  <c r="U15" i="1"/>
  <c r="S15" i="1"/>
  <c r="T16" i="1"/>
  <c r="U16" i="1"/>
  <c r="S16" i="1"/>
  <c r="T17" i="1"/>
  <c r="S17" i="1"/>
  <c r="U17" i="1"/>
  <c r="T7" i="1"/>
  <c r="U7" i="1"/>
  <c r="T18" i="1"/>
  <c r="L18" i="1" s="1"/>
  <c r="P13" i="1" s="1"/>
  <c r="S8" i="1"/>
  <c r="S7" i="1"/>
  <c r="S18" i="1"/>
  <c r="K18" i="1" s="1"/>
  <c r="P11" i="1" l="1"/>
  <c r="P12" i="1"/>
  <c r="P14" i="1"/>
  <c r="P15" i="1"/>
  <c r="P16" i="1"/>
  <c r="Q13" i="1"/>
  <c r="Q14" i="1"/>
  <c r="Q15" i="1"/>
  <c r="Q16" i="1"/>
  <c r="R7" i="1"/>
  <c r="O14" i="1"/>
  <c r="O15" i="1"/>
  <c r="P8" i="1"/>
  <c r="P9" i="1"/>
  <c r="P10" i="1"/>
  <c r="P17" i="1"/>
  <c r="P7" i="1"/>
  <c r="Q8" i="1"/>
  <c r="Q9" i="1"/>
  <c r="Q10" i="1"/>
  <c r="Q11" i="1"/>
  <c r="Q12" i="1"/>
  <c r="Q17" i="1"/>
  <c r="Q7" i="1"/>
  <c r="O9" i="1"/>
  <c r="O10" i="1"/>
  <c r="O11" i="1"/>
  <c r="O12" i="1"/>
  <c r="O13" i="1"/>
  <c r="O16" i="1"/>
  <c r="O17" i="1"/>
  <c r="O7" i="1"/>
  <c r="O8" i="1"/>
  <c r="Z14" i="1" l="1"/>
  <c r="AA14" i="1"/>
  <c r="AB14" i="1"/>
  <c r="Z15" i="1"/>
  <c r="AA15" i="1"/>
  <c r="AB15" i="1"/>
  <c r="AB9" i="1"/>
  <c r="AA9" i="1"/>
  <c r="Z9" i="1"/>
  <c r="AB10" i="1"/>
  <c r="AA10" i="1"/>
  <c r="Z10" i="1"/>
  <c r="AB11" i="1"/>
  <c r="AA11" i="1"/>
  <c r="Z11" i="1"/>
  <c r="AB12" i="1"/>
  <c r="AA12" i="1"/>
  <c r="Z12" i="1"/>
  <c r="AB13" i="1"/>
  <c r="AA13" i="1"/>
  <c r="Z13" i="1"/>
  <c r="AB16" i="1"/>
  <c r="AA16" i="1"/>
  <c r="Z16" i="1"/>
  <c r="AB17" i="1"/>
  <c r="AA17" i="1"/>
  <c r="Z17" i="1"/>
  <c r="AB7" i="1"/>
  <c r="AA7" i="1"/>
  <c r="Z7" i="1"/>
  <c r="AB8" i="1"/>
  <c r="AA8" i="1"/>
  <c r="Z8" i="1"/>
</calcChain>
</file>

<file path=xl/sharedStrings.xml><?xml version="1.0" encoding="utf-8"?>
<sst xmlns="http://schemas.openxmlformats.org/spreadsheetml/2006/main" count="64" uniqueCount="47">
  <si>
    <t>Term</t>
  </si>
  <si>
    <t>Q</t>
  </si>
  <si>
    <t>D1</t>
  </si>
  <si>
    <t>D2</t>
  </si>
  <si>
    <t>D3</t>
  </si>
  <si>
    <t>tf</t>
  </si>
  <si>
    <t>arrived</t>
  </si>
  <si>
    <t>damaged</t>
  </si>
  <si>
    <t>delivery</t>
  </si>
  <si>
    <t>fire</t>
  </si>
  <si>
    <t>gold</t>
  </si>
  <si>
    <t>of</t>
  </si>
  <si>
    <t>shipment</t>
  </si>
  <si>
    <t>silver</t>
  </si>
  <si>
    <t>truck</t>
  </si>
  <si>
    <t>a</t>
  </si>
  <si>
    <t>in</t>
  </si>
  <si>
    <t>Sum()</t>
  </si>
  <si>
    <t>idf</t>
  </si>
  <si>
    <t>panjang</t>
  </si>
  <si>
    <t>q</t>
  </si>
  <si>
    <t>w=tf*idf Q</t>
  </si>
  <si>
    <t>d1</t>
  </si>
  <si>
    <t>d2</t>
  </si>
  <si>
    <t>d3</t>
  </si>
  <si>
    <t>normalisasi</t>
  </si>
  <si>
    <t>w^2</t>
  </si>
  <si>
    <t>inner</t>
  </si>
  <si>
    <t>q.d1</t>
  </si>
  <si>
    <t>q.d2</t>
  </si>
  <si>
    <t>q.d3</t>
  </si>
  <si>
    <t>inner normalisasi</t>
  </si>
  <si>
    <t>normalisasi panjang</t>
  </si>
  <si>
    <t>query tidak berbobot</t>
  </si>
  <si>
    <r>
      <t xml:space="preserve">D1: hanya </t>
    </r>
    <r>
      <rPr>
        <b/>
        <sz val="11"/>
        <color theme="1"/>
        <rFont val="Aptos Narrow"/>
        <family val="2"/>
        <scheme val="minor"/>
      </rPr>
      <t>gold</t>
    </r>
    <r>
      <rPr>
        <sz val="11"/>
        <color theme="1"/>
        <rFont val="Aptos Narrow"/>
        <family val="2"/>
        <scheme val="minor"/>
      </rPr>
      <t xml:space="preserve"> → 1</t>
    </r>
  </si>
  <si>
    <r>
      <t xml:space="preserve">D2: </t>
    </r>
    <r>
      <rPr>
        <b/>
        <sz val="11"/>
        <color theme="1"/>
        <rFont val="Aptos Narrow"/>
        <family val="2"/>
        <scheme val="minor"/>
      </rPr>
      <t>delivery + arrived</t>
    </r>
    <r>
      <rPr>
        <sz val="11"/>
        <color theme="1"/>
        <rFont val="Aptos Narrow"/>
        <family val="2"/>
        <scheme val="minor"/>
      </rPr>
      <t xml:space="preserve"> → 2</t>
    </r>
  </si>
  <si>
    <r>
      <t xml:space="preserve">D3: </t>
    </r>
    <r>
      <rPr>
        <b/>
        <sz val="11"/>
        <color theme="1"/>
        <rFont val="Aptos Narrow"/>
        <family val="2"/>
        <scheme val="minor"/>
      </rPr>
      <t>gold + arrived</t>
    </r>
    <r>
      <rPr>
        <sz val="11"/>
        <color theme="1"/>
        <rFont val="Aptos Narrow"/>
        <family val="2"/>
        <scheme val="minor"/>
      </rPr>
      <t xml:space="preserve"> → 2</t>
    </r>
  </si>
  <si>
    <t>Query Berbobot (gold:3, delivery:1, arrive:2)</t>
  </si>
  <si>
    <t>gold (3)</t>
  </si>
  <si>
    <t>delivery(1)</t>
  </si>
  <si>
    <t>arrive(2)</t>
  </si>
  <si>
    <t>Total</t>
  </si>
  <si>
    <t>D1 = 3</t>
  </si>
  <si>
    <t>D2 = 3</t>
  </si>
  <si>
    <t>D3 = 5</t>
  </si>
  <si>
    <t>Query Berbobot TF-IDF</t>
  </si>
  <si>
    <t>TF-IDF Ternormalisasi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</si>
</sst>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35</xdr:row>
      <xdr:rowOff>0</xdr:rowOff>
    </xdr:from>
    <xdr:to>
      <xdr:col>7</xdr:col>
      <xdr:colOff>323851</xdr:colOff>
      <xdr:row>53</xdr:row>
      <xdr:rowOff>10337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42519-D6BF-8F01-F791-61EC84027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1" y="7315200"/>
          <a:ext cx="4019550" cy="3439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C13E-7E5C-42C6-AD87-C012CCFB0C5A}">
  <dimension ref="B5:AE55"/>
  <sheetViews>
    <sheetView tabSelected="1" topLeftCell="D4" workbookViewId="0">
      <selection activeCell="N18" sqref="N18"/>
    </sheetView>
  </sheetViews>
  <sheetFormatPr defaultRowHeight="15" x14ac:dyDescent="0.25"/>
  <cols>
    <col min="1" max="16384" width="9.140625" style="1"/>
  </cols>
  <sheetData>
    <row r="5" spans="2:31" ht="17.25" x14ac:dyDescent="0.25">
      <c r="B5" s="2"/>
      <c r="C5" s="2"/>
      <c r="P5" s="1" t="s">
        <v>25</v>
      </c>
      <c r="T5" s="1" t="s">
        <v>26</v>
      </c>
      <c r="X5" s="1" t="s">
        <v>27</v>
      </c>
      <c r="AA5" s="1" t="s">
        <v>31</v>
      </c>
      <c r="AD5" s="1" t="s">
        <v>32</v>
      </c>
    </row>
    <row r="6" spans="2:31" ht="17.25" x14ac:dyDescent="0.25">
      <c r="B6" s="3"/>
      <c r="D6" s="5" t="s">
        <v>0</v>
      </c>
      <c r="E6" s="5" t="s">
        <v>1</v>
      </c>
      <c r="F6" s="5" t="s">
        <v>2</v>
      </c>
      <c r="G6" s="5" t="s">
        <v>3</v>
      </c>
      <c r="H6" s="5" t="s">
        <v>4</v>
      </c>
      <c r="I6" s="6" t="s">
        <v>5</v>
      </c>
      <c r="J6" s="7" t="s">
        <v>18</v>
      </c>
      <c r="K6" s="8" t="s">
        <v>21</v>
      </c>
      <c r="L6" s="8" t="s">
        <v>22</v>
      </c>
      <c r="M6" s="8" t="s">
        <v>23</v>
      </c>
      <c r="N6" s="8" t="s">
        <v>24</v>
      </c>
      <c r="O6" s="10" t="s">
        <v>20</v>
      </c>
      <c r="P6" s="10" t="s">
        <v>22</v>
      </c>
      <c r="Q6" s="10" t="s">
        <v>23</v>
      </c>
      <c r="R6" s="10" t="s">
        <v>24</v>
      </c>
      <c r="S6" s="9" t="s">
        <v>20</v>
      </c>
      <c r="T6" s="9" t="s">
        <v>22</v>
      </c>
      <c r="U6" s="9" t="s">
        <v>23</v>
      </c>
      <c r="V6" s="9" t="s">
        <v>24</v>
      </c>
      <c r="W6" s="11" t="s">
        <v>28</v>
      </c>
      <c r="X6" s="11" t="s">
        <v>29</v>
      </c>
      <c r="Y6" s="11" t="s">
        <v>30</v>
      </c>
      <c r="Z6" s="9" t="s">
        <v>28</v>
      </c>
      <c r="AA6" s="9" t="s">
        <v>29</v>
      </c>
      <c r="AB6" s="9" t="s">
        <v>30</v>
      </c>
      <c r="AC6" s="13" t="s">
        <v>28</v>
      </c>
      <c r="AD6" s="13" t="s">
        <v>29</v>
      </c>
      <c r="AE6" s="13" t="s">
        <v>30</v>
      </c>
    </row>
    <row r="7" spans="2:31" ht="17.25" x14ac:dyDescent="0.25">
      <c r="B7" s="3"/>
      <c r="D7" s="12" t="s">
        <v>15</v>
      </c>
      <c r="E7" s="12">
        <v>0</v>
      </c>
      <c r="F7" s="12">
        <v>1</v>
      </c>
      <c r="G7" s="12">
        <v>1</v>
      </c>
      <c r="H7" s="12">
        <v>1</v>
      </c>
      <c r="I7" s="13">
        <v>3</v>
      </c>
      <c r="J7" s="7">
        <f>LOG10(3/I7)</f>
        <v>0</v>
      </c>
      <c r="K7" s="8">
        <f>E7*J7</f>
        <v>0</v>
      </c>
      <c r="L7" s="8">
        <f>F7*J7</f>
        <v>0</v>
      </c>
      <c r="M7" s="8">
        <f>G7*J7</f>
        <v>0</v>
      </c>
      <c r="N7" s="8">
        <f>H7*J7</f>
        <v>0</v>
      </c>
      <c r="O7" s="10">
        <f>K7/K18</f>
        <v>0</v>
      </c>
      <c r="P7" s="10">
        <f>L7/L18</f>
        <v>0</v>
      </c>
      <c r="Q7" s="10">
        <f>M7/M18</f>
        <v>0</v>
      </c>
      <c r="R7" s="10">
        <f>N7/M18</f>
        <v>0</v>
      </c>
      <c r="S7" s="9">
        <f>K7*K7</f>
        <v>0</v>
      </c>
      <c r="T7" s="9">
        <f>L7*L7</f>
        <v>0</v>
      </c>
      <c r="U7" s="9">
        <f>M7*M7</f>
        <v>0</v>
      </c>
      <c r="V7" s="9">
        <f>N7*N7</f>
        <v>0</v>
      </c>
      <c r="W7" s="11">
        <f>K7*L7</f>
        <v>0</v>
      </c>
      <c r="X7" s="11">
        <f>K7*M7</f>
        <v>0</v>
      </c>
      <c r="Y7" s="11">
        <f>K7*N7</f>
        <v>0</v>
      </c>
      <c r="Z7" s="9">
        <f>O7*P7</f>
        <v>0</v>
      </c>
      <c r="AA7" s="9">
        <f>O7*Q7</f>
        <v>0</v>
      </c>
      <c r="AB7" s="9">
        <f>O7*R7</f>
        <v>0</v>
      </c>
      <c r="AC7" s="13"/>
      <c r="AD7" s="13"/>
      <c r="AE7" s="13"/>
    </row>
    <row r="8" spans="2:31" ht="17.25" x14ac:dyDescent="0.25">
      <c r="B8" s="3"/>
      <c r="D8" s="12" t="s">
        <v>6</v>
      </c>
      <c r="E8" s="12">
        <v>1</v>
      </c>
      <c r="F8" s="12">
        <v>0</v>
      </c>
      <c r="G8" s="12">
        <v>1</v>
      </c>
      <c r="H8" s="12">
        <v>1</v>
      </c>
      <c r="I8" s="13">
        <v>2</v>
      </c>
      <c r="J8" s="7">
        <f t="shared" ref="J8:J17" si="0">LOG10(3/I8)</f>
        <v>0.17609125905568124</v>
      </c>
      <c r="K8" s="8">
        <f t="shared" ref="K8:K17" si="1">E8*J8</f>
        <v>0.17609125905568124</v>
      </c>
      <c r="L8" s="8">
        <f t="shared" ref="L8:L17" si="2">F8*J8</f>
        <v>0</v>
      </c>
      <c r="M8" s="8">
        <f t="shared" ref="M8:M17" si="3">G8*J8</f>
        <v>0.17609125905568124</v>
      </c>
      <c r="N8" s="8">
        <f t="shared" ref="N8:N17" si="4">H8*J8</f>
        <v>0.17609125905568124</v>
      </c>
      <c r="O8" s="10">
        <f>K8/K18</f>
        <v>0.32718457421365998</v>
      </c>
      <c r="P8" s="10">
        <f>L8/L18</f>
        <v>0</v>
      </c>
      <c r="Q8" s="10">
        <f>M8/M18</f>
        <v>0.16073253746956626</v>
      </c>
      <c r="R8" s="10">
        <f>N8/N18</f>
        <v>0.5</v>
      </c>
      <c r="S8" s="9">
        <f>K8*K8</f>
        <v>3.1008131515815038E-2</v>
      </c>
      <c r="T8" s="9">
        <f>L8*L8</f>
        <v>0</v>
      </c>
      <c r="U8" s="9">
        <f>M8*M8</f>
        <v>3.1008131515815038E-2</v>
      </c>
      <c r="V8" s="9">
        <f>N8*N8</f>
        <v>3.1008131515815038E-2</v>
      </c>
      <c r="W8" s="11">
        <f t="shared" ref="W8:W17" si="5">K8*L8</f>
        <v>0</v>
      </c>
      <c r="X8" s="11">
        <f t="shared" ref="X8:X17" si="6">K8*M8</f>
        <v>3.1008131515815038E-2</v>
      </c>
      <c r="Y8" s="11">
        <f t="shared" ref="Y8:Y17" si="7">K8*N8</f>
        <v>3.1008131515815038E-2</v>
      </c>
      <c r="Z8" s="9">
        <f>O8*P8</f>
        <v>0</v>
      </c>
      <c r="AA8" s="9">
        <f>O8*Q8</f>
        <v>5.2589206834261187E-2</v>
      </c>
      <c r="AB8" s="9">
        <f>O8*R8</f>
        <v>0.16359228710682999</v>
      </c>
      <c r="AC8" s="13"/>
      <c r="AD8" s="13"/>
      <c r="AE8" s="13"/>
    </row>
    <row r="9" spans="2:31" ht="28.5" x14ac:dyDescent="0.25">
      <c r="B9" s="4"/>
      <c r="C9" s="4"/>
      <c r="D9" s="12" t="s">
        <v>7</v>
      </c>
      <c r="E9" s="12">
        <v>0</v>
      </c>
      <c r="F9" s="12">
        <v>1</v>
      </c>
      <c r="G9" s="12">
        <v>0</v>
      </c>
      <c r="H9" s="12">
        <v>0</v>
      </c>
      <c r="I9" s="13">
        <v>1</v>
      </c>
      <c r="J9" s="7">
        <f t="shared" si="0"/>
        <v>0.47712125471966244</v>
      </c>
      <c r="K9" s="8">
        <f t="shared" si="1"/>
        <v>0</v>
      </c>
      <c r="L9" s="8">
        <f t="shared" si="2"/>
        <v>0.47712125471966244</v>
      </c>
      <c r="M9" s="8">
        <f t="shared" si="3"/>
        <v>0</v>
      </c>
      <c r="N9" s="8">
        <f t="shared" si="4"/>
        <v>0</v>
      </c>
      <c r="O9" s="10">
        <f>K9/K18</f>
        <v>0</v>
      </c>
      <c r="P9" s="10">
        <f>L9/L18</f>
        <v>0.66336897234345049</v>
      </c>
      <c r="Q9" s="10">
        <f>M9/M18</f>
        <v>0</v>
      </c>
      <c r="R9" s="10">
        <v>0</v>
      </c>
      <c r="S9" s="9">
        <f>K9*K9</f>
        <v>0</v>
      </c>
      <c r="T9" s="9">
        <f>L9*L9</f>
        <v>0.227644691705265</v>
      </c>
      <c r="U9" s="9">
        <f>M9*M9</f>
        <v>0</v>
      </c>
      <c r="V9" s="9">
        <f>N9*N9</f>
        <v>0</v>
      </c>
      <c r="W9" s="11">
        <f t="shared" si="5"/>
        <v>0</v>
      </c>
      <c r="X9" s="11">
        <f t="shared" si="6"/>
        <v>0</v>
      </c>
      <c r="Y9" s="11">
        <f t="shared" si="7"/>
        <v>0</v>
      </c>
      <c r="Z9" s="9">
        <f>O9*P9</f>
        <v>0</v>
      </c>
      <c r="AA9" s="9">
        <f>O9*Q9</f>
        <v>0</v>
      </c>
      <c r="AB9" s="9">
        <f>O9*R9</f>
        <v>0</v>
      </c>
      <c r="AC9" s="13"/>
      <c r="AD9" s="13"/>
      <c r="AE9" s="13"/>
    </row>
    <row r="10" spans="2:31" x14ac:dyDescent="0.25">
      <c r="D10" s="12" t="s">
        <v>8</v>
      </c>
      <c r="E10" s="12">
        <v>1</v>
      </c>
      <c r="F10" s="12">
        <v>0</v>
      </c>
      <c r="G10" s="12">
        <v>1</v>
      </c>
      <c r="H10" s="12">
        <v>0</v>
      </c>
      <c r="I10" s="13">
        <v>1</v>
      </c>
      <c r="J10" s="7">
        <f t="shared" si="0"/>
        <v>0.47712125471966244</v>
      </c>
      <c r="K10" s="8">
        <f t="shared" si="1"/>
        <v>0.47712125471966244</v>
      </c>
      <c r="L10" s="8">
        <f t="shared" si="2"/>
        <v>0</v>
      </c>
      <c r="M10" s="8">
        <f t="shared" si="3"/>
        <v>0.47712125471966244</v>
      </c>
      <c r="N10" s="8">
        <f t="shared" si="4"/>
        <v>0</v>
      </c>
      <c r="O10" s="10">
        <f>K10/K18</f>
        <v>0.88651029818792981</v>
      </c>
      <c r="P10" s="10">
        <f>L10/L18</f>
        <v>0</v>
      </c>
      <c r="Q10" s="10">
        <f>M10/M18</f>
        <v>0.43550662516136052</v>
      </c>
      <c r="R10" s="10">
        <v>0</v>
      </c>
      <c r="S10" s="9">
        <f>K10*K10</f>
        <v>0.227644691705265</v>
      </c>
      <c r="T10" s="9">
        <f>L10*L10</f>
        <v>0</v>
      </c>
      <c r="U10" s="9">
        <f>M10*M10</f>
        <v>0.227644691705265</v>
      </c>
      <c r="V10" s="9">
        <f>N10*N10</f>
        <v>0</v>
      </c>
      <c r="W10" s="11">
        <f t="shared" si="5"/>
        <v>0</v>
      </c>
      <c r="X10" s="11">
        <f t="shared" si="6"/>
        <v>0.227644691705265</v>
      </c>
      <c r="Y10" s="11">
        <f t="shared" si="7"/>
        <v>0</v>
      </c>
      <c r="Z10" s="9">
        <f>O10*P10</f>
        <v>0</v>
      </c>
      <c r="AA10" s="9">
        <f>O10*Q10</f>
        <v>0.38608110813461671</v>
      </c>
      <c r="AB10" s="9">
        <f>O10*R10</f>
        <v>0</v>
      </c>
      <c r="AC10" s="13"/>
      <c r="AD10" s="13"/>
      <c r="AE10" s="13"/>
    </row>
    <row r="11" spans="2:31" x14ac:dyDescent="0.25">
      <c r="D11" s="12" t="s">
        <v>9</v>
      </c>
      <c r="E11" s="12">
        <v>0</v>
      </c>
      <c r="F11" s="12">
        <v>1</v>
      </c>
      <c r="G11" s="12">
        <v>0</v>
      </c>
      <c r="H11" s="12">
        <v>0</v>
      </c>
      <c r="I11" s="13">
        <v>1</v>
      </c>
      <c r="J11" s="7">
        <f t="shared" si="0"/>
        <v>0.47712125471966244</v>
      </c>
      <c r="K11" s="8">
        <f t="shared" si="1"/>
        <v>0</v>
      </c>
      <c r="L11" s="8">
        <f t="shared" si="2"/>
        <v>0.47712125471966244</v>
      </c>
      <c r="M11" s="8">
        <f t="shared" si="3"/>
        <v>0</v>
      </c>
      <c r="N11" s="8">
        <f t="shared" si="4"/>
        <v>0</v>
      </c>
      <c r="O11" s="10">
        <f>K11/K18</f>
        <v>0</v>
      </c>
      <c r="P11" s="10">
        <f>L11/L18</f>
        <v>0.66336897234345049</v>
      </c>
      <c r="Q11" s="10">
        <f>M11/M18</f>
        <v>0</v>
      </c>
      <c r="R11" s="10">
        <v>0</v>
      </c>
      <c r="S11" s="9">
        <f>K11*K11</f>
        <v>0</v>
      </c>
      <c r="T11" s="9">
        <f>L11*L11</f>
        <v>0.227644691705265</v>
      </c>
      <c r="U11" s="9">
        <f>M11*M11</f>
        <v>0</v>
      </c>
      <c r="V11" s="9">
        <f>N11*N11</f>
        <v>0</v>
      </c>
      <c r="W11" s="11">
        <f t="shared" si="5"/>
        <v>0</v>
      </c>
      <c r="X11" s="11">
        <f t="shared" si="6"/>
        <v>0</v>
      </c>
      <c r="Y11" s="11">
        <f t="shared" si="7"/>
        <v>0</v>
      </c>
      <c r="Z11" s="9">
        <f>O11*P11</f>
        <v>0</v>
      </c>
      <c r="AA11" s="9">
        <f>O11*Q11</f>
        <v>0</v>
      </c>
      <c r="AB11" s="9">
        <f>O11*R11</f>
        <v>0</v>
      </c>
      <c r="AC11" s="13"/>
      <c r="AD11" s="13"/>
      <c r="AE11" s="13"/>
    </row>
    <row r="12" spans="2:31" x14ac:dyDescent="0.25">
      <c r="D12" s="12" t="s">
        <v>10</v>
      </c>
      <c r="E12" s="12">
        <v>1</v>
      </c>
      <c r="F12" s="12">
        <v>1</v>
      </c>
      <c r="G12" s="12">
        <v>0</v>
      </c>
      <c r="H12" s="12">
        <v>1</v>
      </c>
      <c r="I12" s="13">
        <v>2</v>
      </c>
      <c r="J12" s="7">
        <f t="shared" si="0"/>
        <v>0.17609125905568124</v>
      </c>
      <c r="K12" s="8">
        <f t="shared" si="1"/>
        <v>0.17609125905568124</v>
      </c>
      <c r="L12" s="8">
        <f t="shared" si="2"/>
        <v>0.17609125905568124</v>
      </c>
      <c r="M12" s="8">
        <f t="shared" si="3"/>
        <v>0</v>
      </c>
      <c r="N12" s="8">
        <f t="shared" si="4"/>
        <v>0.17609125905568124</v>
      </c>
      <c r="O12" s="10">
        <f>K12/K18</f>
        <v>0.32718457421365998</v>
      </c>
      <c r="P12" s="10">
        <f>L12/L18</f>
        <v>0.24482975009584629</v>
      </c>
      <c r="Q12" s="10">
        <f>M12/M18</f>
        <v>0</v>
      </c>
      <c r="R12" s="10">
        <f>N12/N18</f>
        <v>0.5</v>
      </c>
      <c r="S12" s="9">
        <f>K12*K12</f>
        <v>3.1008131515815038E-2</v>
      </c>
      <c r="T12" s="9">
        <f>L12*L12</f>
        <v>3.1008131515815038E-2</v>
      </c>
      <c r="U12" s="9">
        <f>M12*M12</f>
        <v>0</v>
      </c>
      <c r="V12" s="9">
        <f>N12*N12</f>
        <v>3.1008131515815038E-2</v>
      </c>
      <c r="W12" s="11">
        <f t="shared" si="5"/>
        <v>3.1008131515815038E-2</v>
      </c>
      <c r="X12" s="11">
        <f t="shared" si="6"/>
        <v>0</v>
      </c>
      <c r="Y12" s="11">
        <f t="shared" si="7"/>
        <v>3.1008131515815038E-2</v>
      </c>
      <c r="Z12" s="9">
        <f>O12*P12</f>
        <v>8.0104517539946241E-2</v>
      </c>
      <c r="AA12" s="9">
        <f>O12*Q12</f>
        <v>0</v>
      </c>
      <c r="AB12" s="9">
        <f>O12*R12</f>
        <v>0.16359228710682999</v>
      </c>
      <c r="AC12" s="13"/>
      <c r="AD12" s="13"/>
      <c r="AE12" s="13"/>
    </row>
    <row r="13" spans="2:31" x14ac:dyDescent="0.25">
      <c r="D13" s="12" t="s">
        <v>16</v>
      </c>
      <c r="E13" s="12">
        <v>0</v>
      </c>
      <c r="F13" s="12">
        <v>1</v>
      </c>
      <c r="G13" s="12">
        <v>1</v>
      </c>
      <c r="H13" s="12">
        <v>1</v>
      </c>
      <c r="I13" s="13">
        <v>3</v>
      </c>
      <c r="J13" s="7">
        <f t="shared" si="0"/>
        <v>0</v>
      </c>
      <c r="K13" s="8">
        <f t="shared" si="1"/>
        <v>0</v>
      </c>
      <c r="L13" s="8">
        <f t="shared" si="2"/>
        <v>0</v>
      </c>
      <c r="M13" s="8">
        <f t="shared" si="3"/>
        <v>0</v>
      </c>
      <c r="N13" s="8">
        <f t="shared" si="4"/>
        <v>0</v>
      </c>
      <c r="O13" s="10">
        <f>K13/K18</f>
        <v>0</v>
      </c>
      <c r="P13" s="10">
        <f>L13/L18</f>
        <v>0</v>
      </c>
      <c r="Q13" s="10">
        <f>M13/M18</f>
        <v>0</v>
      </c>
      <c r="R13" s="10">
        <v>0</v>
      </c>
      <c r="S13" s="9">
        <f>K13*K13</f>
        <v>0</v>
      </c>
      <c r="T13" s="9">
        <f>L13*L13</f>
        <v>0</v>
      </c>
      <c r="U13" s="9">
        <f>M13*M13</f>
        <v>0</v>
      </c>
      <c r="V13" s="9">
        <f>N13*N13</f>
        <v>0</v>
      </c>
      <c r="W13" s="11">
        <f t="shared" si="5"/>
        <v>0</v>
      </c>
      <c r="X13" s="11">
        <f t="shared" si="6"/>
        <v>0</v>
      </c>
      <c r="Y13" s="11">
        <f t="shared" si="7"/>
        <v>0</v>
      </c>
      <c r="Z13" s="9">
        <f>O13*P13</f>
        <v>0</v>
      </c>
      <c r="AA13" s="9">
        <f>O13*Q13</f>
        <v>0</v>
      </c>
      <c r="AB13" s="9">
        <f>O13*R13</f>
        <v>0</v>
      </c>
      <c r="AC13" s="13"/>
      <c r="AD13" s="13"/>
      <c r="AE13" s="13"/>
    </row>
    <row r="14" spans="2:31" x14ac:dyDescent="0.25">
      <c r="D14" s="12" t="s">
        <v>11</v>
      </c>
      <c r="E14" s="12">
        <v>0</v>
      </c>
      <c r="F14" s="12">
        <v>1</v>
      </c>
      <c r="G14" s="12">
        <v>1</v>
      </c>
      <c r="H14" s="12">
        <v>1</v>
      </c>
      <c r="I14" s="13">
        <v>3</v>
      </c>
      <c r="J14" s="7">
        <f t="shared" si="0"/>
        <v>0</v>
      </c>
      <c r="K14" s="8">
        <f t="shared" si="1"/>
        <v>0</v>
      </c>
      <c r="L14" s="8">
        <f t="shared" si="2"/>
        <v>0</v>
      </c>
      <c r="M14" s="8">
        <f t="shared" si="3"/>
        <v>0</v>
      </c>
      <c r="N14" s="8">
        <f t="shared" si="4"/>
        <v>0</v>
      </c>
      <c r="O14" s="10">
        <f>K14/K18</f>
        <v>0</v>
      </c>
      <c r="P14" s="10">
        <f>L14/L18</f>
        <v>0</v>
      </c>
      <c r="Q14" s="10">
        <f>M14/M18</f>
        <v>0</v>
      </c>
      <c r="R14" s="10">
        <v>0</v>
      </c>
      <c r="S14" s="9">
        <f>K14*K14</f>
        <v>0</v>
      </c>
      <c r="T14" s="9">
        <f>L14*L14</f>
        <v>0</v>
      </c>
      <c r="U14" s="9">
        <f>M14*M14</f>
        <v>0</v>
      </c>
      <c r="V14" s="9">
        <f>N14*N14</f>
        <v>0</v>
      </c>
      <c r="W14" s="11">
        <f t="shared" si="5"/>
        <v>0</v>
      </c>
      <c r="X14" s="11">
        <f t="shared" si="6"/>
        <v>0</v>
      </c>
      <c r="Y14" s="11">
        <f t="shared" si="7"/>
        <v>0</v>
      </c>
      <c r="Z14" s="9">
        <f>O14*P14</f>
        <v>0</v>
      </c>
      <c r="AA14" s="9">
        <f>O14*Q14</f>
        <v>0</v>
      </c>
      <c r="AB14" s="9">
        <f>O14*R14</f>
        <v>0</v>
      </c>
      <c r="AC14" s="13"/>
      <c r="AD14" s="13"/>
      <c r="AE14" s="13"/>
    </row>
    <row r="15" spans="2:31" ht="28.5" x14ac:dyDescent="0.25">
      <c r="D15" s="12" t="s">
        <v>12</v>
      </c>
      <c r="E15" s="12">
        <v>0</v>
      </c>
      <c r="F15" s="12">
        <v>1</v>
      </c>
      <c r="G15" s="12">
        <v>0</v>
      </c>
      <c r="H15" s="12">
        <v>1</v>
      </c>
      <c r="I15" s="13">
        <v>2</v>
      </c>
      <c r="J15" s="7">
        <f t="shared" si="0"/>
        <v>0.17609125905568124</v>
      </c>
      <c r="K15" s="8">
        <f t="shared" si="1"/>
        <v>0</v>
      </c>
      <c r="L15" s="8">
        <f t="shared" si="2"/>
        <v>0.17609125905568124</v>
      </c>
      <c r="M15" s="8">
        <f t="shared" si="3"/>
        <v>0</v>
      </c>
      <c r="N15" s="8">
        <f t="shared" si="4"/>
        <v>0.17609125905568124</v>
      </c>
      <c r="O15" s="10">
        <f>K15/K18</f>
        <v>0</v>
      </c>
      <c r="P15" s="10">
        <f>L15/L18</f>
        <v>0.24482975009584629</v>
      </c>
      <c r="Q15" s="10">
        <f>M15/M18</f>
        <v>0</v>
      </c>
      <c r="R15" s="10">
        <f>N15/N18</f>
        <v>0.5</v>
      </c>
      <c r="S15" s="9">
        <f>K15*K15</f>
        <v>0</v>
      </c>
      <c r="T15" s="9">
        <f>L15*L15</f>
        <v>3.1008131515815038E-2</v>
      </c>
      <c r="U15" s="9">
        <f>M15*M15</f>
        <v>0</v>
      </c>
      <c r="V15" s="9">
        <f>N15*N15</f>
        <v>3.1008131515815038E-2</v>
      </c>
      <c r="W15" s="11">
        <f t="shared" si="5"/>
        <v>0</v>
      </c>
      <c r="X15" s="11">
        <f t="shared" si="6"/>
        <v>0</v>
      </c>
      <c r="Y15" s="11">
        <f t="shared" si="7"/>
        <v>0</v>
      </c>
      <c r="Z15" s="9">
        <f>O15*P15</f>
        <v>0</v>
      </c>
      <c r="AA15" s="9">
        <f>O15*Q15</f>
        <v>0</v>
      </c>
      <c r="AB15" s="9">
        <f>O15*R15</f>
        <v>0</v>
      </c>
      <c r="AC15" s="13"/>
      <c r="AD15" s="13"/>
      <c r="AE15" s="13"/>
    </row>
    <row r="16" spans="2:31" x14ac:dyDescent="0.25">
      <c r="D16" s="12" t="s">
        <v>13</v>
      </c>
      <c r="E16" s="12">
        <v>0</v>
      </c>
      <c r="F16" s="12">
        <v>0</v>
      </c>
      <c r="G16" s="12">
        <v>2</v>
      </c>
      <c r="H16" s="12">
        <v>0</v>
      </c>
      <c r="I16" s="13">
        <v>1</v>
      </c>
      <c r="J16" s="7">
        <f t="shared" si="0"/>
        <v>0.47712125471966244</v>
      </c>
      <c r="K16" s="8">
        <f t="shared" si="1"/>
        <v>0</v>
      </c>
      <c r="L16" s="8">
        <f t="shared" si="2"/>
        <v>0</v>
      </c>
      <c r="M16" s="8">
        <f t="shared" si="3"/>
        <v>0.95424250943932487</v>
      </c>
      <c r="N16" s="8">
        <f t="shared" si="4"/>
        <v>0</v>
      </c>
      <c r="O16" s="10">
        <f>K16/K18</f>
        <v>0</v>
      </c>
      <c r="P16" s="10">
        <f>L16/L18</f>
        <v>0</v>
      </c>
      <c r="Q16" s="10">
        <f>M16/M18</f>
        <v>0.87101325032272103</v>
      </c>
      <c r="R16" s="10">
        <v>0</v>
      </c>
      <c r="S16" s="9">
        <f>K16*K16</f>
        <v>0</v>
      </c>
      <c r="T16" s="9">
        <f>L16*L16</f>
        <v>0</v>
      </c>
      <c r="U16" s="9">
        <f>M16*M16</f>
        <v>0.91057876682105998</v>
      </c>
      <c r="V16" s="9">
        <f>N16*N16</f>
        <v>0</v>
      </c>
      <c r="W16" s="11">
        <f t="shared" si="5"/>
        <v>0</v>
      </c>
      <c r="X16" s="11">
        <f t="shared" si="6"/>
        <v>0</v>
      </c>
      <c r="Y16" s="11">
        <f t="shared" si="7"/>
        <v>0</v>
      </c>
      <c r="Z16" s="9">
        <f>O16*P16</f>
        <v>0</v>
      </c>
      <c r="AA16" s="9">
        <f>O16*Q16</f>
        <v>0</v>
      </c>
      <c r="AB16" s="9">
        <f>O16*R16</f>
        <v>0</v>
      </c>
      <c r="AC16" s="13"/>
      <c r="AD16" s="13"/>
      <c r="AE16" s="13"/>
    </row>
    <row r="17" spans="2:31" x14ac:dyDescent="0.25">
      <c r="D17" s="12" t="s">
        <v>14</v>
      </c>
      <c r="E17" s="12">
        <v>0</v>
      </c>
      <c r="F17" s="12">
        <v>0</v>
      </c>
      <c r="G17" s="12">
        <v>1</v>
      </c>
      <c r="H17" s="12">
        <v>1</v>
      </c>
      <c r="I17" s="13">
        <v>2</v>
      </c>
      <c r="J17" s="7">
        <f t="shared" si="0"/>
        <v>0.17609125905568124</v>
      </c>
      <c r="K17" s="8">
        <f t="shared" si="1"/>
        <v>0</v>
      </c>
      <c r="L17" s="8">
        <f t="shared" si="2"/>
        <v>0</v>
      </c>
      <c r="M17" s="8">
        <f t="shared" si="3"/>
        <v>0.17609125905568124</v>
      </c>
      <c r="N17" s="8">
        <f t="shared" si="4"/>
        <v>0.17609125905568124</v>
      </c>
      <c r="O17" s="10">
        <f>K17/K18</f>
        <v>0</v>
      </c>
      <c r="P17" s="10">
        <f>L17/L18</f>
        <v>0</v>
      </c>
      <c r="Q17" s="10">
        <f>M17/M18</f>
        <v>0.16073253746956626</v>
      </c>
      <c r="R17" s="10">
        <f>N17/N18</f>
        <v>0.5</v>
      </c>
      <c r="S17" s="9">
        <f>K17*K17</f>
        <v>0</v>
      </c>
      <c r="T17" s="9">
        <f>L17*L17</f>
        <v>0</v>
      </c>
      <c r="U17" s="9">
        <f>M17*M17</f>
        <v>3.1008131515815038E-2</v>
      </c>
      <c r="V17" s="9">
        <f>N17*N17</f>
        <v>3.1008131515815038E-2</v>
      </c>
      <c r="W17" s="11">
        <f t="shared" si="5"/>
        <v>0</v>
      </c>
      <c r="X17" s="11">
        <f t="shared" si="6"/>
        <v>0</v>
      </c>
      <c r="Y17" s="11">
        <f t="shared" si="7"/>
        <v>0</v>
      </c>
      <c r="Z17" s="9">
        <f>O17*P17</f>
        <v>0</v>
      </c>
      <c r="AA17" s="9">
        <f>O17*Q17</f>
        <v>0</v>
      </c>
      <c r="AB17" s="9">
        <f>O17*R17</f>
        <v>0</v>
      </c>
      <c r="AC17" s="13"/>
      <c r="AD17" s="13"/>
      <c r="AE17" s="13"/>
    </row>
    <row r="18" spans="2:31" x14ac:dyDescent="0.25">
      <c r="D18" s="5" t="s">
        <v>17</v>
      </c>
      <c r="E18" s="5">
        <v>3</v>
      </c>
      <c r="F18" s="5">
        <v>7</v>
      </c>
      <c r="G18" s="5">
        <v>8</v>
      </c>
      <c r="H18" s="5">
        <v>7</v>
      </c>
      <c r="I18" s="13">
        <f>SUM(I7:I17)</f>
        <v>21</v>
      </c>
      <c r="J18" s="7" t="s">
        <v>19</v>
      </c>
      <c r="K18" s="8">
        <f>SQRT(S18)</f>
        <v>0.53820159302708781</v>
      </c>
      <c r="L18" s="8">
        <f>SQRT(T18)</f>
        <v>0.71923963075053088</v>
      </c>
      <c r="M18" s="8">
        <f>SQRT(U18)</f>
        <v>1.095554526967031</v>
      </c>
      <c r="N18" s="8">
        <f>SQRT(V18)</f>
        <v>0.35218251811136247</v>
      </c>
      <c r="O18" s="10"/>
      <c r="P18" s="10"/>
      <c r="Q18" s="10"/>
      <c r="R18" s="10"/>
      <c r="S18" s="9">
        <f>SUM(S7:S17)</f>
        <v>0.28966095473689507</v>
      </c>
      <c r="T18" s="9">
        <f>SUM(T8:T17)</f>
        <v>0.51730564644216004</v>
      </c>
      <c r="U18" s="9">
        <f>SUM(U7:U17)</f>
        <v>1.200239721557955</v>
      </c>
      <c r="V18" s="9">
        <f>SUM(V7:V17)</f>
        <v>0.12403252606326015</v>
      </c>
      <c r="W18" s="11"/>
      <c r="X18" s="11"/>
      <c r="Y18" s="11"/>
      <c r="Z18" s="9"/>
      <c r="AA18" s="9"/>
      <c r="AB18" s="9"/>
      <c r="AC18" s="13"/>
      <c r="AD18" s="13"/>
      <c r="AE18" s="13"/>
    </row>
    <row r="23" spans="2:31" x14ac:dyDescent="0.25">
      <c r="B23" s="8"/>
      <c r="C23" s="8" t="s">
        <v>33</v>
      </c>
      <c r="D23" s="8"/>
      <c r="E23" s="20" t="s">
        <v>34</v>
      </c>
      <c r="F23" s="8"/>
      <c r="G23" s="8"/>
    </row>
    <row r="24" spans="2:31" x14ac:dyDescent="0.25">
      <c r="B24" s="8"/>
      <c r="C24" s="8"/>
      <c r="D24" s="8"/>
      <c r="E24" s="20" t="s">
        <v>35</v>
      </c>
      <c r="F24" s="8"/>
      <c r="G24" s="8"/>
    </row>
    <row r="25" spans="2:31" x14ac:dyDescent="0.25">
      <c r="B25" s="8"/>
      <c r="C25" s="8"/>
      <c r="D25" s="8"/>
      <c r="E25" s="20" t="s">
        <v>36</v>
      </c>
      <c r="F25" s="8"/>
      <c r="G25" s="8"/>
    </row>
    <row r="26" spans="2:31" x14ac:dyDescent="0.25">
      <c r="B26" s="14" t="s">
        <v>37</v>
      </c>
      <c r="C26" s="15"/>
      <c r="D26" s="16"/>
      <c r="E26" s="15"/>
      <c r="F26" s="15"/>
      <c r="G26" s="15"/>
      <c r="H26" s="15"/>
    </row>
    <row r="27" spans="2:31" x14ac:dyDescent="0.25">
      <c r="B27" s="15"/>
      <c r="C27" s="15"/>
      <c r="D27" s="15"/>
      <c r="E27" s="17" t="s">
        <v>0</v>
      </c>
      <c r="F27" s="17" t="s">
        <v>2</v>
      </c>
      <c r="G27" s="17" t="s">
        <v>3</v>
      </c>
      <c r="H27" s="17" t="s">
        <v>4</v>
      </c>
    </row>
    <row r="28" spans="2:31" x14ac:dyDescent="0.25">
      <c r="B28" s="15"/>
      <c r="C28" s="15"/>
      <c r="D28" s="15"/>
      <c r="E28" s="18" t="s">
        <v>38</v>
      </c>
      <c r="F28" s="18">
        <v>3</v>
      </c>
      <c r="G28" s="18">
        <v>0</v>
      </c>
      <c r="H28" s="18">
        <v>3</v>
      </c>
    </row>
    <row r="29" spans="2:31" ht="30" x14ac:dyDescent="0.25">
      <c r="B29" s="15"/>
      <c r="C29" s="15"/>
      <c r="D29" s="15"/>
      <c r="E29" s="18" t="s">
        <v>39</v>
      </c>
      <c r="F29" s="18">
        <v>0</v>
      </c>
      <c r="G29" s="18">
        <v>1</v>
      </c>
      <c r="H29" s="18">
        <v>0</v>
      </c>
    </row>
    <row r="30" spans="2:31" x14ac:dyDescent="0.25">
      <c r="B30" s="15"/>
      <c r="C30" s="15"/>
      <c r="D30" s="15"/>
      <c r="E30" s="18" t="s">
        <v>40</v>
      </c>
      <c r="F30" s="18">
        <v>0</v>
      </c>
      <c r="G30" s="18">
        <v>2</v>
      </c>
      <c r="H30" s="18">
        <v>2</v>
      </c>
    </row>
    <row r="31" spans="2:31" x14ac:dyDescent="0.25">
      <c r="B31" s="15"/>
      <c r="C31" s="15"/>
      <c r="D31" s="15"/>
      <c r="E31" s="19" t="s">
        <v>41</v>
      </c>
      <c r="F31" s="18">
        <v>3</v>
      </c>
      <c r="G31" s="18">
        <v>3</v>
      </c>
      <c r="H31" s="18">
        <v>5</v>
      </c>
    </row>
    <row r="32" spans="2:31" x14ac:dyDescent="0.25">
      <c r="B32" s="15"/>
      <c r="C32" s="15"/>
      <c r="D32" s="15"/>
      <c r="E32" s="14" t="s">
        <v>42</v>
      </c>
      <c r="F32" s="15"/>
      <c r="G32" s="15"/>
      <c r="H32" s="15"/>
    </row>
    <row r="33" spans="2:8" x14ac:dyDescent="0.25">
      <c r="B33" s="15"/>
      <c r="C33" s="15"/>
      <c r="D33" s="15"/>
      <c r="E33" s="14" t="s">
        <v>43</v>
      </c>
      <c r="F33" s="15"/>
      <c r="G33" s="15"/>
      <c r="H33" s="15"/>
    </row>
    <row r="34" spans="2:8" x14ac:dyDescent="0.25">
      <c r="B34" s="15"/>
      <c r="C34" s="15"/>
      <c r="D34" s="15"/>
      <c r="E34" s="14" t="s">
        <v>44</v>
      </c>
      <c r="F34" s="15"/>
      <c r="G34" s="15"/>
      <c r="H34" s="15"/>
    </row>
    <row r="35" spans="2:8" x14ac:dyDescent="0.25">
      <c r="B35" t="s">
        <v>45</v>
      </c>
    </row>
    <row r="55" spans="2:2" x14ac:dyDescent="0.25">
      <c r="B55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LEONARDUS DALE MASAN</dc:creator>
  <cp:lastModifiedBy>LEONARDUS DALE MASAN</cp:lastModifiedBy>
  <dcterms:created xsi:type="dcterms:W3CDTF">2026-04-08T17:32:59Z</dcterms:created>
  <dcterms:modified xsi:type="dcterms:W3CDTF">2026-04-08T22:52:50Z</dcterms:modified>
</cp:coreProperties>
</file>