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5b95P/9A1GvmxMbQR7Xkd1tifiV/eaeoShBBFT6yTYE="/>
    </ext>
  </extLst>
</workbook>
</file>

<file path=xl/sharedStrings.xml><?xml version="1.0" encoding="utf-8"?>
<sst xmlns="http://schemas.openxmlformats.org/spreadsheetml/2006/main" count="21" uniqueCount="18">
  <si>
    <t>α = 1, β = 0.75, γ 0.25.</t>
  </si>
  <si>
    <t>T1</t>
  </si>
  <si>
    <t>T2</t>
  </si>
  <si>
    <t>T3</t>
  </si>
  <si>
    <t>T4</t>
  </si>
  <si>
    <t>T5</t>
  </si>
  <si>
    <t>T6</t>
  </si>
  <si>
    <t>S(Q, D)</t>
  </si>
  <si>
    <t>S(Q', D)</t>
  </si>
  <si>
    <t>RELEVANCE</t>
  </si>
  <si>
    <t>Q</t>
  </si>
  <si>
    <t>Q'</t>
  </si>
  <si>
    <t>D1</t>
  </si>
  <si>
    <t>R</t>
  </si>
  <si>
    <t>D2</t>
  </si>
  <si>
    <t>D3</t>
  </si>
  <si>
    <t>NR</t>
  </si>
  <si>
    <t>D4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</si>
</sst>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b/>
      <sz val="13.0"/>
      <color theme="1"/>
      <name val="Aptos Narrow"/>
    </font>
    <font>
      <sz val="13.0"/>
      <color theme="1"/>
      <name val="Aptos Narrow"/>
    </font>
    <font>
      <sz val="13.0"/>
      <color rgb="FFFF0000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1" fillId="2" fontId="1" numFmtId="0" xfId="0" applyBorder="1" applyFill="1" applyFont="1"/>
    <xf borderId="1" fillId="2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5" width="9.13"/>
    <col customWidth="1" min="6" max="6" width="11.88"/>
    <col customWidth="1" min="7" max="9" width="9.13"/>
    <col customWidth="1" min="10" max="10" width="9.25"/>
    <col customWidth="1" min="11" max="14" width="9.13"/>
    <col customWidth="1" min="15" max="15" width="14.0"/>
    <col customWidth="1" min="16" max="26" width="9.1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2" t="s">
        <v>0</v>
      </c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1"/>
      <c r="C8" s="1"/>
      <c r="D8" s="1"/>
      <c r="E8" s="1"/>
      <c r="F8" s="5"/>
      <c r="G8" s="5" t="s">
        <v>1</v>
      </c>
      <c r="H8" s="5" t="s">
        <v>2</v>
      </c>
      <c r="I8" s="5" t="s">
        <v>3</v>
      </c>
      <c r="J8" s="5" t="s">
        <v>4</v>
      </c>
      <c r="K8" s="5" t="s">
        <v>5</v>
      </c>
      <c r="L8" s="5" t="s">
        <v>6</v>
      </c>
      <c r="M8" s="5" t="s">
        <v>7</v>
      </c>
      <c r="N8" s="5" t="s">
        <v>8</v>
      </c>
      <c r="O8" s="5" t="s">
        <v>9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1"/>
      <c r="C9" s="1"/>
      <c r="D9" s="1"/>
      <c r="E9" s="1"/>
      <c r="F9" s="5" t="s">
        <v>10</v>
      </c>
      <c r="G9" s="6">
        <v>1.0</v>
      </c>
      <c r="H9" s="6">
        <v>0.0</v>
      </c>
      <c r="I9" s="6">
        <v>4.0</v>
      </c>
      <c r="J9" s="6">
        <v>2.0</v>
      </c>
      <c r="K9" s="6">
        <v>6.0</v>
      </c>
      <c r="L9" s="6">
        <v>0.0</v>
      </c>
      <c r="M9" s="6"/>
      <c r="N9" s="6"/>
      <c r="O9" s="6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1"/>
      <c r="C10" s="1"/>
      <c r="D10" s="1"/>
      <c r="E10" s="1"/>
      <c r="F10" s="5" t="s">
        <v>11</v>
      </c>
      <c r="G10" s="6">
        <f t="shared" ref="G10:K10" si="1">MAX(1*G9+0.75*AVERAGE(G12,G13)-0.25*AVERAGE(G14,G15),0)</f>
        <v>0.125</v>
      </c>
      <c r="H10" s="6">
        <f t="shared" si="1"/>
        <v>2.25</v>
      </c>
      <c r="I10" s="6">
        <f t="shared" si="1"/>
        <v>7.625</v>
      </c>
      <c r="J10" s="6">
        <f t="shared" si="1"/>
        <v>1</v>
      </c>
      <c r="K10" s="6">
        <f t="shared" si="1"/>
        <v>7</v>
      </c>
      <c r="L10" s="7">
        <f>MAX(1*L9+0.75*AVERAGE(L12,L13)-0.25*AVERAGE(L14,L15))</f>
        <v>-1.25</v>
      </c>
      <c r="M10" s="6"/>
      <c r="N10" s="6"/>
      <c r="O10" s="6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1"/>
      <c r="C11" s="1"/>
      <c r="D11" s="1"/>
      <c r="E11" s="1"/>
      <c r="F11" s="5" t="s">
        <v>11</v>
      </c>
      <c r="G11" s="6">
        <f t="shared" ref="G11:K11" si="2">G10</f>
        <v>0.125</v>
      </c>
      <c r="H11" s="6">
        <f t="shared" si="2"/>
        <v>2.25</v>
      </c>
      <c r="I11" s="6">
        <f t="shared" si="2"/>
        <v>7.625</v>
      </c>
      <c r="J11" s="6">
        <f t="shared" si="2"/>
        <v>1</v>
      </c>
      <c r="K11" s="6">
        <f t="shared" si="2"/>
        <v>7</v>
      </c>
      <c r="L11" s="6">
        <v>0.0</v>
      </c>
      <c r="M11" s="6"/>
      <c r="N11" s="6"/>
      <c r="O11" s="6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1"/>
      <c r="C12" s="1"/>
      <c r="D12" s="1"/>
      <c r="E12" s="1"/>
      <c r="F12" s="5" t="s">
        <v>12</v>
      </c>
      <c r="G12" s="6">
        <v>0.0</v>
      </c>
      <c r="H12" s="6">
        <v>4.0</v>
      </c>
      <c r="I12" s="6">
        <v>4.0</v>
      </c>
      <c r="J12" s="6">
        <v>0.0</v>
      </c>
      <c r="K12" s="6">
        <v>2.0</v>
      </c>
      <c r="L12" s="6">
        <v>0.0</v>
      </c>
      <c r="M12" s="6">
        <f>SUMPRODUCT(G9:L9,G12:L12)</f>
        <v>28</v>
      </c>
      <c r="N12" s="6">
        <f>SUMPRODUCT(G11:L11,G12:L12)</f>
        <v>53.5</v>
      </c>
      <c r="O12" s="6" t="s">
        <v>13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1"/>
      <c r="C13" s="1"/>
      <c r="D13" s="1"/>
      <c r="E13" s="1"/>
      <c r="F13" s="5" t="s">
        <v>14</v>
      </c>
      <c r="G13" s="6">
        <v>1.0</v>
      </c>
      <c r="H13" s="6">
        <v>2.0</v>
      </c>
      <c r="I13" s="6">
        <v>6.0</v>
      </c>
      <c r="J13" s="6">
        <v>0.0</v>
      </c>
      <c r="K13" s="6">
        <v>1.0</v>
      </c>
      <c r="L13" s="6">
        <v>0.0</v>
      </c>
      <c r="M13" s="6">
        <f>SUMPRODUCT(G9:L9,G13:L13)</f>
        <v>31</v>
      </c>
      <c r="N13" s="6">
        <f>SUMPRODUCT(G11:L11,G13:L13)</f>
        <v>57.375</v>
      </c>
      <c r="O13" s="6" t="s">
        <v>13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1"/>
      <c r="C14" s="8"/>
      <c r="D14" s="8"/>
      <c r="E14" s="8"/>
      <c r="F14" s="5" t="s">
        <v>15</v>
      </c>
      <c r="G14" s="6">
        <v>6.0</v>
      </c>
      <c r="H14" s="6">
        <v>0.0</v>
      </c>
      <c r="I14" s="6">
        <v>0.0</v>
      </c>
      <c r="J14" s="6">
        <v>6.0</v>
      </c>
      <c r="K14" s="6">
        <v>1.0</v>
      </c>
      <c r="L14" s="6">
        <v>0.0</v>
      </c>
      <c r="M14" s="6">
        <f>SUMPRODUCT(G9:L9,G14:L14)</f>
        <v>24</v>
      </c>
      <c r="N14" s="6">
        <f>SUMPRODUCT(G11:L11,G14:L14)</f>
        <v>13.75</v>
      </c>
      <c r="O14" s="6" t="s">
        <v>16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8"/>
      <c r="D15" s="8"/>
      <c r="E15" s="8"/>
      <c r="F15" s="5" t="s">
        <v>17</v>
      </c>
      <c r="G15" s="6">
        <v>4.0</v>
      </c>
      <c r="H15" s="6">
        <v>0.0</v>
      </c>
      <c r="I15" s="6">
        <v>1.0</v>
      </c>
      <c r="J15" s="6">
        <v>2.0</v>
      </c>
      <c r="K15" s="6">
        <v>0.0</v>
      </c>
      <c r="L15" s="6">
        <v>10.0</v>
      </c>
      <c r="M15" s="6">
        <f>SUMPRODUCT(G9:L9,G15:L15)</f>
        <v>12</v>
      </c>
      <c r="N15" s="6">
        <f>SUMPRODUCT(G11:L11,G15:L15)</f>
        <v>10.125</v>
      </c>
      <c r="O15" s="6" t="s">
        <v>16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2026-04-22T22:06:12Z</dcterms:created>
  <dc:creator>LEONARDUS DALE MASAN</dc:creator>
</cp:coreProperties>
</file>