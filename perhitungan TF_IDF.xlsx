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lleno\Dokumen\TUGAS SEMESTER 6\PI\"/>
    </mc:Choice>
  </mc:AlternateContent>
  <xr:revisionPtr revIDLastSave="0" documentId="8_{22389F41-D01E-4381-87DE-E0FA487B8FCC}" xr6:coauthVersionLast="47" xr6:coauthVersionMax="47" xr10:uidLastSave="{00000000-0000-0000-0000-000000000000}"/>
  <bookViews>
    <workbookView xWindow="-120" yWindow="-120" windowWidth="20730" windowHeight="11760" tabRatio="500" activeTab="1" xr2:uid="{00000000-000D-0000-FFFF-FFFF00000000}"/>
  </bookViews>
  <sheets>
    <sheet name="Ringkasan" sheetId="1" r:id="rId1"/>
    <sheet name="Tabel Lengkap (6 Metode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V10" i="2" l="1"/>
  <c r="CV12" i="2" s="1"/>
  <c r="CU10" i="2"/>
  <c r="CU12" i="2" s="1"/>
  <c r="CT10" i="2"/>
  <c r="CT12" i="2" s="1"/>
  <c r="CO10" i="2"/>
  <c r="CO11" i="2" s="1"/>
  <c r="CN10" i="2"/>
  <c r="CN11" i="2" s="1"/>
  <c r="CM10" i="2"/>
  <c r="CM11" i="2" s="1"/>
  <c r="CL10" i="2"/>
  <c r="CL11" i="2" s="1"/>
  <c r="BX10" i="2"/>
  <c r="BX11" i="2" s="1"/>
  <c r="BW10" i="2"/>
  <c r="BW11" i="2" s="1"/>
  <c r="BV10" i="2"/>
  <c r="BV11" i="2" s="1"/>
  <c r="BU10" i="2"/>
  <c r="BU11" i="2" s="1"/>
  <c r="BT10" i="2"/>
  <c r="BS10" i="2"/>
  <c r="BR10" i="2"/>
  <c r="BG10" i="2"/>
  <c r="BG12" i="2" s="1"/>
  <c r="BF10" i="2"/>
  <c r="BF12" i="2" s="1"/>
  <c r="BE10" i="2"/>
  <c r="BE12" i="2" s="1"/>
  <c r="AZ10" i="2"/>
  <c r="AZ11" i="2" s="1"/>
  <c r="AY10" i="2"/>
  <c r="AY11" i="2" s="1"/>
  <c r="AX10" i="2"/>
  <c r="AX11" i="2" s="1"/>
  <c r="AW10" i="2"/>
  <c r="AW11" i="2" s="1"/>
  <c r="AL10" i="2"/>
  <c r="AL12" i="2" s="1"/>
  <c r="AK10" i="2"/>
  <c r="AK12" i="2" s="1"/>
  <c r="AJ10" i="2"/>
  <c r="AJ12" i="2" s="1"/>
  <c r="Y10" i="2"/>
  <c r="Y12" i="2" s="1"/>
  <c r="X10" i="2"/>
  <c r="X12" i="2" s="1"/>
  <c r="W10" i="2"/>
  <c r="W12" i="2" s="1"/>
  <c r="L10" i="2"/>
  <c r="L12" i="2" s="1"/>
  <c r="K10" i="2"/>
  <c r="K12" i="2" s="1"/>
  <c r="J10" i="2"/>
  <c r="J12" i="2" s="1"/>
  <c r="CA10" i="2" l="1"/>
  <c r="CA12" i="2" s="1"/>
  <c r="BY10" i="2"/>
  <c r="BZ10" i="2"/>
  <c r="BY12" i="2" l="1"/>
  <c r="BZ12" i="2"/>
</calcChain>
</file>

<file path=xl/sharedStrings.xml><?xml version="1.0" encoding="utf-8"?>
<sst xmlns="http://schemas.openxmlformats.org/spreadsheetml/2006/main" count="302" uniqueCount="110">
  <si>
    <t>RINGKASAN – Hasil Relevansi &amp; Ranking  |  Query: 'car insurance'</t>
  </si>
  <si>
    <t>idf: car=1.65 | auto=2.08 | insurance=1.62 | best=1.50     tf(Q): car=1, insurance=1     Bobot pemakai: car=3, insurance=1</t>
  </si>
  <si>
    <t>Metode &amp; Rumus</t>
  </si>
  <si>
    <t>Skor Doc1</t>
  </si>
  <si>
    <t>Skor Doc2</t>
  </si>
  <si>
    <t>Skor Doc3</t>
  </si>
  <si>
    <t>Rank D1</t>
  </si>
  <si>
    <t>Rank D2</t>
  </si>
  <si>
    <t>Rank D3</t>
  </si>
  <si>
    <t>Urutan Relevansi</t>
  </si>
  <si>
    <t>Penjelasan Singkat</t>
  </si>
  <si>
    <t>No.1 – Tanpa Bobot Query
sim = Σ[ tf(Q)×tf(D)×idf ]</t>
  </si>
  <si>
    <t>Doc3 &gt; Doc2 &gt; Doc1</t>
  </si>
  <si>
    <t>w(Q)=tf biasa, tidak ada pembobotan khusus pada query</t>
  </si>
  <si>
    <t>No.2 – Bobot Pemakai
sim = Σ[ w_user(Q)×tf(D)×idf ]  |  car=3, ins=1</t>
  </si>
  <si>
    <t>Doc3 &gt; Doc1 &gt; Doc2</t>
  </si>
  <si>
    <t>Pemakai tentukan bobot query secara manual</t>
  </si>
  <si>
    <t>No.3 – Bobot TF-IDF
sim = Σ[ (tf(Q)×idf) × (tf(D)×idf) ]</t>
  </si>
  <si>
    <t>Bobot query &amp; dokumen sama-sama dihitung dengan TF-IDF</t>
  </si>
  <si>
    <t>No.4 – TF-IDF Ternormalisasi
wn=w/√Σw²  →  sim = Σ[ wn(Q)×wn(D) ]</t>
  </si>
  <si>
    <t>Setiap vektor dinormalisasi terlebih dahulu, lalu inner product</t>
  </si>
  <si>
    <t>No.5 – TF-IDF Similarity
sim = Σ[w(Q)×w(D)] / (√Σw²(Q) × √Σw²(D))</t>
  </si>
  <si>
    <t>Dot product dibagi perkalian magnitude (= cosinus formula asli)</t>
  </si>
  <si>
    <t>No.6 – Cosinus Similarity
cos(θ) = Σ[wn(Q)×wn(D)]</t>
  </si>
  <si>
    <t>Normalisasi per vektor dulu → inner product vektor satuan</t>
  </si>
  <si>
    <t>Keterangan Warna Ranking:</t>
  </si>
  <si>
    <t>Rank 1 – Paling Relevan</t>
  </si>
  <si>
    <t>Rank 2</t>
  </si>
  <si>
    <t>Rank 3 – Paling Tidak Relevan</t>
  </si>
  <si>
    <t>RUMUS REFERENSI CEPAT</t>
  </si>
  <si>
    <t>TF-IDF</t>
  </si>
  <si>
    <t>w(t,d) = tf(t,d) × idf(t)</t>
  </si>
  <si>
    <t>idf = log10(N/df)</t>
  </si>
  <si>
    <t>Normalisasi</t>
  </si>
  <si>
    <t>wn(t,d) = w(t,d) / √[ Σ w(t,d)² ]</t>
  </si>
  <si>
    <t>Per kolom dokumen/query</t>
  </si>
  <si>
    <t>Inner Product</t>
  </si>
  <si>
    <t>sim = Σ[ w(Q) × w(D) ]</t>
  </si>
  <si>
    <t>Metode 1,2,3</t>
  </si>
  <si>
    <t>TFIDF Sim</t>
  </si>
  <si>
    <t>sim = Σ[w(Q)·w(D)] / (|Q|×|D|)</t>
  </si>
  <si>
    <t>Metode 5 – = cosinus</t>
  </si>
  <si>
    <t>Cosinus</t>
  </si>
  <si>
    <t>cos(θ) = Σ[wn(Q)×wn(D)]</t>
  </si>
  <si>
    <t>Metode 6 – = metode 5 jika norm per vektor</t>
  </si>
  <si>
    <t>TABEL LENGKAP PERBANDINGAN 6 METODE IR – Query: 'car insurance'  |  Baca dari kiri ke kanan: setiap metode disusun step-by-step</t>
  </si>
  <si>
    <t>Data:  idf(car)=1.65 | idf(auto)=2.08 | idf(insurance)=1.62 | idf(best)=1.50     |    tf(Q): car=1, insurance=1    |    Bobot pemakai: car=3, insurance=1</t>
  </si>
  <si>
    <t>METODE →</t>
  </si>
  <si>
    <t>NO. 1 – Query TANPA BOBOT
Rumus: sim = Σ[ tf(Q) × tf(D) × idf ]</t>
  </si>
  <si>
    <t>NO. 2 – Bobot PEMAKAI (car=3, insurance=1)
Rumus: sim = Σ[ w_user(Q) × tf(D) × idf ]</t>
  </si>
  <si>
    <t>NO. 3 – Bobot TF-IDF
Rumus: sim = Σ[ (tf(Q)×idf) × (tf(D)×idf) ]</t>
  </si>
  <si>
    <t>NO. 4 – TF-IDF TERNORMALISASI
Rumus: wn = w / √(Σw²)  lalu  sim = Σ[ wn(Q)×wn(D) ]</t>
  </si>
  <si>
    <t>NO. 5 – TF-IDF SIMILARITY
Rumus: sim = Σ[w(Q)×w(D)] / ( √Σw²(Q) × √Σw²(D) )</t>
  </si>
  <si>
    <t>NO. 6 – COSINUS SIMILARITY
Rumus: wn=w/|v|  lalu  sim = Σ[ wn(Q)×wn(D) ] = cos(θ)</t>
  </si>
  <si>
    <t>STEP →</t>
  </si>
  <si>
    <t>INPUT: tf  (mentah)</t>
  </si>
  <si>
    <t>idf</t>
  </si>
  <si>
    <t>STEP 1: w(D) = tf(D)×idf</t>
  </si>
  <si>
    <t>STEP 2: sim = tf(Q)×w(D)</t>
  </si>
  <si>
    <t>INPUT: tf</t>
  </si>
  <si>
    <t>w(Q) pemakai</t>
  </si>
  <si>
    <t>STEP 1: w(D)=tf(D)×idf</t>
  </si>
  <si>
    <t>STEP 2: sim=w_user(Q)×w(D)</t>
  </si>
  <si>
    <t>STEP 1: w(Q)=tf(Q)×idf</t>
  </si>
  <si>
    <t>STEP 2: w(D)=tf(D)×idf</t>
  </si>
  <si>
    <t>STEP 3: sim=w(Q)×w(D)</t>
  </si>
  <si>
    <t>STEP 1: w=tf×idf</t>
  </si>
  <si>
    <t>STEP 2: w² (untuk √Σw²)</t>
  </si>
  <si>
    <t>STEP 3: wn=w/√Σw²</t>
  </si>
  <si>
    <t>STEP 4: sim=wn(Q)×wn(D)</t>
  </si>
  <si>
    <t>STEP 2: Σ[w(Q)×w(D)]</t>
  </si>
  <si>
    <t>STEP 3: w² (magnitude)</t>
  </si>
  <si>
    <t>STEP 4: sim=Σdot/(|Q|×|D|)</t>
  </si>
  <si>
    <t>STEP 2: w²</t>
  </si>
  <si>
    <t>STEP 4: cosinus=Σ[wn(Q)×wn(D)]</t>
  </si>
  <si>
    <t>Term</t>
  </si>
  <si>
    <t>tf(Q)</t>
  </si>
  <si>
    <t>tf(D1)</t>
  </si>
  <si>
    <t>tf(D2)</t>
  </si>
  <si>
    <t>tf(D3)</t>
  </si>
  <si>
    <t>w(D1)</t>
  </si>
  <si>
    <t>w(D2)</t>
  </si>
  <si>
    <t>w(D3)</t>
  </si>
  <si>
    <t>Q·D1</t>
  </si>
  <si>
    <t>Q·D2</t>
  </si>
  <si>
    <t>Q·D3</t>
  </si>
  <si>
    <t>w_u(Q)</t>
  </si>
  <si>
    <t>w(Q)</t>
  </si>
  <si>
    <t>w²(Q)</t>
  </si>
  <si>
    <t>w²(D1)</t>
  </si>
  <si>
    <t>w²(D2)</t>
  </si>
  <si>
    <t>w²(D3)</t>
  </si>
  <si>
    <t>wn(Q)</t>
  </si>
  <si>
    <t>wn(D1)</t>
  </si>
  <si>
    <t>wn(D2)</t>
  </si>
  <si>
    <t>wn(D3)</t>
  </si>
  <si>
    <t>sim(Q,D1)</t>
  </si>
  <si>
    <t>sim(Q,D2)</t>
  </si>
  <si>
    <t>sim(Q,D3)</t>
  </si>
  <si>
    <t>cos(Q,D1)</t>
  </si>
  <si>
    <t>cos(Q,D2)</t>
  </si>
  <si>
    <t>cos(Q,D3)</t>
  </si>
  <si>
    <t>car</t>
  </si>
  <si>
    <t>—</t>
  </si>
  <si>
    <t>auto</t>
  </si>
  <si>
    <t>insurance</t>
  </si>
  <si>
    <t>best</t>
  </si>
  <si>
    <t>Σ / TOTAL</t>
  </si>
  <si>
    <t>√Σ (magnitude)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</si>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</sst>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3" x14ac:knownFonts="1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i/>
      <sz val="9"/>
      <color rgb="FF595959"/>
      <name val="Cambria"/>
      <charset val="1"/>
    </font>
    <font>
      <b/>
      <sz val="10"/>
      <color rgb="FFFFFFFF"/>
      <name val="Cambria"/>
      <charset val="1"/>
    </font>
    <font>
      <sz val="10"/>
      <color rgb="FF000000"/>
      <name val="Cambria"/>
      <charset val="1"/>
    </font>
    <font>
      <b/>
      <sz val="11"/>
      <color rgb="FF000000"/>
      <name val="Cambria"/>
      <charset val="1"/>
    </font>
    <font>
      <b/>
      <sz val="11"/>
      <color rgb="FFC00000"/>
      <name val="Cambria"/>
      <charset val="1"/>
    </font>
    <font>
      <i/>
      <sz val="9"/>
      <color rgb="FF000000"/>
      <name val="Cambria"/>
      <charset val="1"/>
    </font>
    <font>
      <b/>
      <sz val="10"/>
      <name val="Cambria"/>
      <charset val="1"/>
    </font>
    <font>
      <b/>
      <sz val="9"/>
      <name val="Cambria"/>
      <charset val="1"/>
    </font>
    <font>
      <b/>
      <sz val="11"/>
      <color rgb="FFFFFFFF"/>
      <name val="Cambria"/>
      <charset val="1"/>
    </font>
    <font>
      <b/>
      <sz val="9"/>
      <color rgb="FF000000"/>
      <name val="Cambria"/>
      <charset val="1"/>
    </font>
    <font>
      <b/>
      <sz val="10"/>
      <color rgb="FF7030A0"/>
      <name val="Cambria"/>
      <charset val="1"/>
    </font>
    <font>
      <b/>
      <sz val="9"/>
      <color rgb="FFFFFFFF"/>
      <name val="Cambria"/>
      <charset val="1"/>
    </font>
    <font>
      <b/>
      <i/>
      <sz val="9"/>
      <color rgb="FFFFFFFF"/>
      <name val="Cambria"/>
      <charset val="1"/>
    </font>
    <font>
      <b/>
      <i/>
      <sz val="8"/>
      <color rgb="FFFFFFFF"/>
      <name val="Cambria"/>
      <charset val="1"/>
    </font>
    <font>
      <b/>
      <sz val="10"/>
      <color rgb="FF375623"/>
      <name val="Cambria"/>
      <charset val="1"/>
    </font>
    <font>
      <b/>
      <sz val="10"/>
      <color rgb="FF843C0C"/>
      <name val="Cambria"/>
      <charset val="1"/>
    </font>
    <font>
      <i/>
      <sz val="10"/>
      <color rgb="FF888888"/>
      <name val="Cambria"/>
      <charset val="1"/>
    </font>
    <font>
      <b/>
      <sz val="10"/>
      <color rgb="FF833C00"/>
      <name val="Cambria"/>
      <charset val="1"/>
    </font>
    <font>
      <b/>
      <sz val="10"/>
      <color rgb="FF000000"/>
      <name val="Cambria"/>
      <charset val="1"/>
    </font>
    <font>
      <b/>
      <sz val="10"/>
      <color rgb="FFC00000"/>
      <name val="Cambria"/>
      <charset val="1"/>
    </font>
    <font>
      <i/>
      <sz val="10"/>
      <color rgb="FFAAAAAA"/>
      <name val="Cambria"/>
      <charset val="1"/>
    </font>
  </fonts>
  <fills count="38">
    <fill>
      <patternFill patternType="none"/>
    </fill>
    <fill>
      <patternFill patternType="gray125"/>
    </fill>
    <fill>
      <patternFill patternType="solid">
        <fgColor rgb="FF1F4E79"/>
        <bgColor rgb="FF2F5496"/>
      </patternFill>
    </fill>
    <fill>
      <patternFill patternType="solid">
        <fgColor rgb="FF2E75B6"/>
        <bgColor rgb="FF2F5496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E3EC8"/>
      </patternFill>
    </fill>
    <fill>
      <patternFill patternType="solid">
        <fgColor rgb="FF843C0C"/>
        <bgColor rgb="FF833C00"/>
      </patternFill>
    </fill>
    <fill>
      <patternFill patternType="solid">
        <fgColor rgb="FFDEEAF1"/>
        <bgColor rgb="FFDAEEF3"/>
      </patternFill>
    </fill>
    <fill>
      <patternFill patternType="solid">
        <fgColor rgb="FFFFC7CE"/>
        <bgColor rgb="FFF8CBAD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FF9D6"/>
      </patternFill>
    </fill>
    <fill>
      <patternFill patternType="solid">
        <fgColor rgb="FFFFFFFF"/>
        <bgColor rgb="FFFFFBE6"/>
      </patternFill>
    </fill>
    <fill>
      <patternFill patternType="solid">
        <fgColor rgb="FF833C00"/>
        <bgColor rgb="FF843C0C"/>
      </patternFill>
    </fill>
    <fill>
      <patternFill patternType="solid">
        <fgColor rgb="FF2F5496"/>
        <bgColor rgb="FF1F4E79"/>
      </patternFill>
    </fill>
    <fill>
      <patternFill patternType="solid">
        <fgColor rgb="FFBDD7EE"/>
        <bgColor rgb="FFDDD0FF"/>
      </patternFill>
    </fill>
    <fill>
      <patternFill patternType="solid">
        <fgColor rgb="FFEEE0FF"/>
        <bgColor rgb="FFF5EFFF"/>
      </patternFill>
    </fill>
    <fill>
      <patternFill patternType="solid">
        <fgColor rgb="FFF2F2F2"/>
        <bgColor rgb="FFF5EFFF"/>
      </patternFill>
    </fill>
    <fill>
      <patternFill patternType="solid">
        <fgColor rgb="FF70AD47"/>
        <bgColor rgb="FF888888"/>
      </patternFill>
    </fill>
    <fill>
      <patternFill patternType="solid">
        <fgColor rgb="FF9E3EC8"/>
        <bgColor rgb="FF7030A0"/>
      </patternFill>
    </fill>
    <fill>
      <patternFill patternType="solid">
        <fgColor rgb="FFC55A11"/>
        <bgColor rgb="FF843C0C"/>
      </patternFill>
    </fill>
    <fill>
      <patternFill patternType="solid">
        <fgColor rgb="FF9DC3E6"/>
        <bgColor rgb="FFBDD7EE"/>
      </patternFill>
    </fill>
    <fill>
      <patternFill patternType="solid">
        <fgColor rgb="FFA9D18E"/>
        <bgColor rgb="FFAAAAAA"/>
      </patternFill>
    </fill>
    <fill>
      <patternFill patternType="solid">
        <fgColor rgb="FFC5A3FF"/>
        <bgColor rgb="FFAAAAAA"/>
      </patternFill>
    </fill>
    <fill>
      <patternFill patternType="solid">
        <fgColor rgb="FFF4B183"/>
        <bgColor rgb="FFF8CBAD"/>
      </patternFill>
    </fill>
    <fill>
      <patternFill patternType="solid">
        <fgColor rgb="FFF0F7FF"/>
        <bgColor rgb="FFF2F2F2"/>
      </patternFill>
    </fill>
    <fill>
      <patternFill patternType="solid">
        <fgColor rgb="FFFFFBE6"/>
        <bgColor rgb="FFFFF9D6"/>
      </patternFill>
    </fill>
    <fill>
      <patternFill patternType="solid">
        <fgColor rgb="FFE2EFDA"/>
        <bgColor rgb="FFDEEAF1"/>
      </patternFill>
    </fill>
    <fill>
      <patternFill patternType="solid">
        <fgColor rgb="FFDDD0FF"/>
        <bgColor rgb="FFEEE0FF"/>
      </patternFill>
    </fill>
    <fill>
      <patternFill patternType="solid">
        <fgColor rgb="FFFCE4D6"/>
        <bgColor rgb="FFFFF2CC"/>
      </patternFill>
    </fill>
    <fill>
      <patternFill patternType="solid">
        <fgColor rgb="FFF5EFFF"/>
        <bgColor rgb="FFF2F2F2"/>
      </patternFill>
    </fill>
    <fill>
      <patternFill patternType="solid">
        <fgColor rgb="FFFFF9D6"/>
        <bgColor rgb="FFFFFBE6"/>
      </patternFill>
    </fill>
    <fill>
      <patternFill patternType="solid">
        <fgColor rgb="FFDAEEF3"/>
        <bgColor rgb="FFDEEAF1"/>
      </patternFill>
    </fill>
    <fill>
      <patternFill patternType="solid">
        <fgColor rgb="FFFFD966"/>
        <bgColor rgb="FFFFEB9C"/>
      </patternFill>
    </fill>
    <fill>
      <patternFill patternType="solid">
        <fgColor rgb="FFF8CBAD"/>
        <bgColor rgb="FFFFC7CE"/>
      </patternFill>
    </fill>
    <fill>
      <patternFill patternType="solid">
        <fgColor rgb="FFFFC000"/>
        <bgColor rgb="FFFFD966"/>
      </patternFill>
    </fill>
    <fill>
      <patternFill patternType="solid">
        <fgColor rgb="FFFF0000"/>
        <bgColor rgb="FFC00000"/>
      </patternFill>
    </fill>
    <fill>
      <patternFill patternType="solid">
        <fgColor rgb="FFB8F0FF"/>
        <b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0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17" borderId="2" xfId="0" applyFont="1" applyFill="1" applyBorder="1" applyAlignment="1">
      <alignment horizontal="left" vertical="center" wrapText="1"/>
    </xf>
    <xf numFmtId="0" fontId="12" fillId="16" borderId="2" xfId="0" applyFont="1" applyFill="1" applyBorder="1" applyAlignment="1">
      <alignment horizontal="left" vertical="center"/>
    </xf>
    <xf numFmtId="0" fontId="10" fillId="14" borderId="0" xfId="0" applyFont="1" applyFill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4" fillId="12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15" fillId="20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" fontId="4" fillId="12" borderId="1" xfId="0" applyNumberFormat="1" applyFont="1" applyFill="1" applyBorder="1" applyAlignment="1">
      <alignment horizontal="center" vertical="center"/>
    </xf>
    <xf numFmtId="2" fontId="4" fillId="15" borderId="1" xfId="0" applyNumberFormat="1" applyFont="1" applyFill="1" applyBorder="1" applyAlignment="1">
      <alignment horizontal="center" vertical="center"/>
    </xf>
    <xf numFmtId="2" fontId="4" fillId="25" borderId="1" xfId="0" applyNumberFormat="1" applyFont="1" applyFill="1" applyBorder="1" applyAlignment="1">
      <alignment horizontal="center" vertical="center"/>
    </xf>
    <xf numFmtId="2" fontId="4" fillId="26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1" fontId="16" fillId="27" borderId="1" xfId="0" applyNumberFormat="1" applyFont="1" applyFill="1" applyBorder="1" applyAlignment="1">
      <alignment horizontal="center" vertical="center"/>
    </xf>
    <xf numFmtId="2" fontId="4" fillId="28" borderId="1" xfId="0" applyNumberFormat="1" applyFont="1" applyFill="1" applyBorder="1" applyAlignment="1">
      <alignment horizontal="center" vertical="center"/>
    </xf>
    <xf numFmtId="164" fontId="12" fillId="16" borderId="1" xfId="0" applyNumberFormat="1" applyFont="1" applyFill="1" applyBorder="1" applyAlignment="1">
      <alignment horizontal="center" vertical="center"/>
    </xf>
    <xf numFmtId="164" fontId="4" fillId="25" borderId="1" xfId="0" applyNumberFormat="1" applyFont="1" applyFill="1" applyBorder="1" applyAlignment="1">
      <alignment horizontal="center" vertical="center"/>
    </xf>
    <xf numFmtId="164" fontId="4" fillId="26" borderId="1" xfId="0" applyNumberFormat="1" applyFont="1" applyFill="1" applyBorder="1" applyAlignment="1">
      <alignment horizontal="center" vertical="center"/>
    </xf>
    <xf numFmtId="2" fontId="4" fillId="29" borderId="1" xfId="0" applyNumberFormat="1" applyFont="1" applyFill="1" applyBorder="1" applyAlignment="1">
      <alignment horizontal="center" vertical="center"/>
    </xf>
    <xf numFmtId="164" fontId="4" fillId="30" borderId="1" xfId="0" applyNumberFormat="1" applyFont="1" applyFill="1" applyBorder="1" applyAlignment="1">
      <alignment horizontal="center" vertical="center"/>
    </xf>
    <xf numFmtId="164" fontId="4" fillId="29" borderId="1" xfId="0" applyNumberFormat="1" applyFont="1" applyFill="1" applyBorder="1" applyAlignment="1">
      <alignment horizontal="center" vertical="center"/>
    </xf>
    <xf numFmtId="164" fontId="17" fillId="31" borderId="1" xfId="0" applyNumberFormat="1" applyFont="1" applyFill="1" applyBorder="1" applyAlignment="1">
      <alignment horizontal="center" vertical="center"/>
    </xf>
    <xf numFmtId="2" fontId="4" fillId="32" borderId="1" xfId="0" applyNumberFormat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164" fontId="19" fillId="31" borderId="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2" fontId="20" fillId="33" borderId="1" xfId="0" applyNumberFormat="1" applyFont="1" applyFill="1" applyBorder="1" applyAlignment="1">
      <alignment horizontal="center" vertical="center"/>
    </xf>
    <xf numFmtId="164" fontId="20" fillId="33" borderId="1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164" fontId="20" fillId="34" borderId="1" xfId="0" applyNumberFormat="1" applyFont="1" applyFill="1" applyBorder="1" applyAlignment="1">
      <alignment horizontal="center" vertical="center"/>
    </xf>
    <xf numFmtId="164" fontId="20" fillId="35" borderId="1" xfId="0" applyNumberFormat="1" applyFont="1" applyFill="1" applyBorder="1" applyAlignment="1">
      <alignment horizontal="center" vertical="center"/>
    </xf>
    <xf numFmtId="164" fontId="21" fillId="36" borderId="1" xfId="0" applyNumberFormat="1" applyFont="1" applyFill="1" applyBorder="1" applyAlignment="1">
      <alignment horizontal="center" vertical="center"/>
    </xf>
    <xf numFmtId="164" fontId="20" fillId="36" borderId="1" xfId="0" applyNumberFormat="1" applyFont="1" applyFill="1" applyBorder="1" applyAlignment="1">
      <alignment horizontal="center" vertical="center"/>
    </xf>
    <xf numFmtId="0" fontId="20" fillId="32" borderId="1" xfId="0" applyFont="1" applyFill="1" applyBorder="1" applyAlignment="1">
      <alignment horizontal="left" vertical="center"/>
    </xf>
    <xf numFmtId="0" fontId="22" fillId="17" borderId="1" xfId="0" applyFont="1" applyFill="1" applyBorder="1" applyAlignment="1">
      <alignment horizontal="center" vertical="center"/>
    </xf>
    <xf numFmtId="164" fontId="20" fillId="37" borderId="1" xfId="0" applyNumberFormat="1" applyFont="1" applyFill="1" applyBorder="1" applyAlignment="1">
      <alignment horizontal="center" vertical="center"/>
    </xf>
    <xf numFmtId="0" fontId="20" fillId="27" borderId="1" xfId="0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15" fillId="2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FFBE6"/>
      <rgbColor rgb="FF0000FF"/>
      <rgbColor rgb="FFFFD966"/>
      <rgbColor rgb="FFFF00FF"/>
      <rgbColor rgb="FFF0F7FF"/>
      <rgbColor rgb="FFC00000"/>
      <rgbColor rgb="FF008000"/>
      <rgbColor rgb="FF000080"/>
      <rgbColor rgb="FFE2EFDA"/>
      <rgbColor rgb="FF9E3EC8"/>
      <rgbColor rgb="FF008080"/>
      <rgbColor rgb="FFBDD7EE"/>
      <rgbColor rgb="FF888888"/>
      <rgbColor rgb="FFEEE0FF"/>
      <rgbColor rgb="FF7030A0"/>
      <rgbColor rgb="FFFFF9D6"/>
      <rgbColor rgb="FFDAEEF3"/>
      <rgbColor rgb="FF660066"/>
      <rgbColor rgb="FFFFC7CE"/>
      <rgbColor rgb="FF0066CC"/>
      <rgbColor rgb="FFDDD0FF"/>
      <rgbColor rgb="FF000080"/>
      <rgbColor rgb="FFFF00FF"/>
      <rgbColor rgb="FFFFF2CC"/>
      <rgbColor rgb="FFF2F2F2"/>
      <rgbColor rgb="FF800080"/>
      <rgbColor rgb="FF800000"/>
      <rgbColor rgb="FF008080"/>
      <rgbColor rgb="FF0000FF"/>
      <rgbColor rgb="FFF5EFFF"/>
      <rgbColor rgb="FFB8F0FF"/>
      <rgbColor rgb="FFC6EFCE"/>
      <rgbColor rgb="FFFFEB9C"/>
      <rgbColor rgb="FF9DC3E6"/>
      <rgbColor rgb="FFF4B183"/>
      <rgbColor rgb="FFC5A3FF"/>
      <rgbColor rgb="FFF8CBAD"/>
      <rgbColor rgb="FF2E75B6"/>
      <rgbColor rgb="FFDEEAF1"/>
      <rgbColor rgb="FFA9D18E"/>
      <rgbColor rgb="FFFFC000"/>
      <rgbColor rgb="FFFCE4D6"/>
      <rgbColor rgb="FFC55A11"/>
      <rgbColor rgb="FF595959"/>
      <rgbColor rgb="FFAAAAAA"/>
      <rgbColor rgb="FF1F4E79"/>
      <rgbColor rgb="FF70AD47"/>
      <rgbColor rgb="FF003300"/>
      <rgbColor rgb="FF333300"/>
      <rgbColor rgb="FF833C00"/>
      <rgbColor rgb="FF843C0C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zoomScaleNormal="100" workbookViewId="0"/>
  </sheetViews>
  <sheetFormatPr defaultColWidth="8.7109375" defaultRowHeight="15" x14ac:dyDescent="0.25"/>
  <cols>
    <col min="1" max="1" width="30" customWidth="1"/>
    <col min="2" max="4" width="14" customWidth="1"/>
    <col min="5" max="7" width="8" customWidth="1"/>
    <col min="8" max="8" width="20" customWidth="1"/>
    <col min="9" max="9" width="32" customWidth="1"/>
  </cols>
  <sheetData>
    <row r="1" spans="1:9" ht="30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25">
      <c r="A3" s="15" t="s">
        <v>2</v>
      </c>
      <c r="B3" s="16" t="s">
        <v>3</v>
      </c>
      <c r="C3" s="16" t="s">
        <v>4</v>
      </c>
      <c r="D3" s="16" t="s">
        <v>5</v>
      </c>
      <c r="E3" s="17" t="s">
        <v>6</v>
      </c>
      <c r="F3" s="17" t="s">
        <v>7</v>
      </c>
      <c r="G3" s="17" t="s">
        <v>8</v>
      </c>
      <c r="H3" s="18" t="s">
        <v>9</v>
      </c>
      <c r="I3" s="19" t="s">
        <v>10</v>
      </c>
    </row>
    <row r="4" spans="1:9" ht="33.75" customHeight="1" x14ac:dyDescent="0.25">
      <c r="A4" s="20" t="s">
        <v>11</v>
      </c>
      <c r="B4" s="21">
        <v>44.55</v>
      </c>
      <c r="C4" s="21">
        <v>60.06</v>
      </c>
      <c r="D4" s="21">
        <v>86.58</v>
      </c>
      <c r="E4" s="22">
        <v>3</v>
      </c>
      <c r="F4" s="23">
        <v>2</v>
      </c>
      <c r="G4" s="24">
        <v>1</v>
      </c>
      <c r="H4" s="25" t="s">
        <v>12</v>
      </c>
      <c r="I4" s="26" t="s">
        <v>13</v>
      </c>
    </row>
    <row r="5" spans="1:9" ht="33.75" customHeight="1" x14ac:dyDescent="0.25">
      <c r="A5" s="27" t="s">
        <v>14</v>
      </c>
      <c r="B5" s="28">
        <v>133.65</v>
      </c>
      <c r="C5" s="28">
        <v>73.260000000000005</v>
      </c>
      <c r="D5" s="28">
        <v>165.78</v>
      </c>
      <c r="E5" s="23">
        <v>2</v>
      </c>
      <c r="F5" s="22">
        <v>3</v>
      </c>
      <c r="G5" s="24">
        <v>1</v>
      </c>
      <c r="H5" s="25" t="s">
        <v>15</v>
      </c>
      <c r="I5" s="29" t="s">
        <v>16</v>
      </c>
    </row>
    <row r="6" spans="1:9" ht="33.75" customHeight="1" x14ac:dyDescent="0.25">
      <c r="A6" s="30" t="s">
        <v>17</v>
      </c>
      <c r="B6" s="21">
        <v>73.507499999999993</v>
      </c>
      <c r="C6" s="21">
        <v>97.495199999999997</v>
      </c>
      <c r="D6" s="21">
        <v>141.44759999999999</v>
      </c>
      <c r="E6" s="22">
        <v>3</v>
      </c>
      <c r="F6" s="23">
        <v>2</v>
      </c>
      <c r="G6" s="24">
        <v>1</v>
      </c>
      <c r="H6" s="25" t="s">
        <v>12</v>
      </c>
      <c r="I6" s="26" t="s">
        <v>18</v>
      </c>
    </row>
    <row r="7" spans="1:9" ht="33.75" customHeight="1" x14ac:dyDescent="0.25">
      <c r="A7" s="31" t="s">
        <v>19</v>
      </c>
      <c r="B7" s="28">
        <v>0.64029999999999998</v>
      </c>
      <c r="C7" s="28">
        <v>0.48320000000000002</v>
      </c>
      <c r="D7" s="28">
        <v>0.91949999999999998</v>
      </c>
      <c r="E7" s="23">
        <v>2</v>
      </c>
      <c r="F7" s="22">
        <v>3</v>
      </c>
      <c r="G7" s="24">
        <v>1</v>
      </c>
      <c r="H7" s="25" t="s">
        <v>15</v>
      </c>
      <c r="I7" s="29" t="s">
        <v>20</v>
      </c>
    </row>
    <row r="8" spans="1:9" ht="33.75" customHeight="1" x14ac:dyDescent="0.25">
      <c r="A8" s="20" t="s">
        <v>21</v>
      </c>
      <c r="B8" s="21">
        <v>0.64029999999999998</v>
      </c>
      <c r="C8" s="21">
        <v>0.48320000000000002</v>
      </c>
      <c r="D8" s="21">
        <v>0.91949999999999998</v>
      </c>
      <c r="E8" s="23">
        <v>2</v>
      </c>
      <c r="F8" s="22">
        <v>3</v>
      </c>
      <c r="G8" s="24">
        <v>1</v>
      </c>
      <c r="H8" s="25" t="s">
        <v>15</v>
      </c>
      <c r="I8" s="26" t="s">
        <v>22</v>
      </c>
    </row>
    <row r="9" spans="1:9" ht="33.75" customHeight="1" x14ac:dyDescent="0.25">
      <c r="A9" s="32" t="s">
        <v>23</v>
      </c>
      <c r="B9" s="28">
        <v>0.64029999999999998</v>
      </c>
      <c r="C9" s="28">
        <v>0.48320000000000002</v>
      </c>
      <c r="D9" s="28">
        <v>0.91949999999999998</v>
      </c>
      <c r="E9" s="23">
        <v>2</v>
      </c>
      <c r="F9" s="22">
        <v>3</v>
      </c>
      <c r="G9" s="24">
        <v>1</v>
      </c>
      <c r="H9" s="25" t="s">
        <v>15</v>
      </c>
      <c r="I9" s="29" t="s">
        <v>24</v>
      </c>
    </row>
    <row r="11" spans="1:9" ht="18" customHeight="1" x14ac:dyDescent="0.25">
      <c r="A11" s="12" t="s">
        <v>25</v>
      </c>
      <c r="B11" s="12"/>
      <c r="C11" s="12"/>
      <c r="D11" s="12"/>
      <c r="E11" s="12"/>
      <c r="F11" s="12"/>
      <c r="G11" s="12"/>
      <c r="H11" s="12"/>
      <c r="I11" s="12"/>
    </row>
    <row r="12" spans="1:9" x14ac:dyDescent="0.25">
      <c r="A12" s="11" t="s">
        <v>26</v>
      </c>
      <c r="B12" s="11"/>
      <c r="C12" s="11"/>
    </row>
    <row r="13" spans="1:9" x14ac:dyDescent="0.25">
      <c r="A13" s="10" t="s">
        <v>27</v>
      </c>
      <c r="B13" s="10"/>
      <c r="C13" s="10"/>
    </row>
    <row r="14" spans="1:9" x14ac:dyDescent="0.25">
      <c r="A14" s="9" t="s">
        <v>28</v>
      </c>
      <c r="B14" s="9"/>
      <c r="C14" s="9"/>
    </row>
    <row r="16" spans="1:9" ht="21.75" customHeight="1" x14ac:dyDescent="0.25">
      <c r="A16" s="8" t="s">
        <v>29</v>
      </c>
      <c r="B16" s="8"/>
      <c r="C16" s="8"/>
      <c r="D16" s="8"/>
      <c r="E16" s="8"/>
      <c r="F16" s="8"/>
      <c r="G16" s="8"/>
      <c r="H16" s="8"/>
      <c r="I16" s="8"/>
    </row>
    <row r="17" spans="1:9" ht="19.5" customHeight="1" x14ac:dyDescent="0.25">
      <c r="A17" s="33" t="s">
        <v>30</v>
      </c>
      <c r="B17" s="7" t="s">
        <v>31</v>
      </c>
      <c r="C17" s="7"/>
      <c r="D17" s="7"/>
      <c r="E17" s="7"/>
      <c r="F17" s="7"/>
      <c r="G17" s="6" t="s">
        <v>32</v>
      </c>
      <c r="H17" s="6"/>
      <c r="I17" s="6"/>
    </row>
    <row r="18" spans="1:9" ht="19.5" customHeight="1" x14ac:dyDescent="0.25">
      <c r="A18" s="33" t="s">
        <v>33</v>
      </c>
      <c r="B18" s="7" t="s">
        <v>34</v>
      </c>
      <c r="C18" s="7"/>
      <c r="D18" s="7"/>
      <c r="E18" s="7"/>
      <c r="F18" s="7"/>
      <c r="G18" s="6" t="s">
        <v>35</v>
      </c>
      <c r="H18" s="6"/>
      <c r="I18" s="6"/>
    </row>
    <row r="19" spans="1:9" ht="19.5" customHeight="1" x14ac:dyDescent="0.25">
      <c r="A19" s="33" t="s">
        <v>36</v>
      </c>
      <c r="B19" s="7" t="s">
        <v>37</v>
      </c>
      <c r="C19" s="7"/>
      <c r="D19" s="7"/>
      <c r="E19" s="7"/>
      <c r="F19" s="7"/>
      <c r="G19" s="6" t="s">
        <v>38</v>
      </c>
      <c r="H19" s="6"/>
      <c r="I19" s="6"/>
    </row>
    <row r="20" spans="1:9" ht="19.5" customHeight="1" x14ac:dyDescent="0.25">
      <c r="A20" s="33" t="s">
        <v>39</v>
      </c>
      <c r="B20" s="7" t="s">
        <v>40</v>
      </c>
      <c r="C20" s="7"/>
      <c r="D20" s="7"/>
      <c r="E20" s="7"/>
      <c r="F20" s="7"/>
      <c r="G20" s="6" t="s">
        <v>41</v>
      </c>
      <c r="H20" s="6"/>
      <c r="I20" s="6"/>
    </row>
    <row r="21" spans="1:9" ht="19.5" customHeight="1" x14ac:dyDescent="0.25">
      <c r="A21" s="33" t="s">
        <v>42</v>
      </c>
      <c r="B21" s="7" t="s">
        <v>43</v>
      </c>
      <c r="C21" s="7"/>
      <c r="D21" s="7"/>
      <c r="E21" s="7"/>
      <c r="F21" s="7"/>
      <c r="G21" s="6" t="s">
        <v>44</v>
      </c>
      <c r="H21" s="6"/>
      <c r="I21" s="6"/>
    </row>
  </sheetData>
  <mergeCells count="17">
    <mergeCell ref="B19:F19"/>
    <mergeCell ref="G19:I19"/>
    <mergeCell ref="B20:F20"/>
    <mergeCell ref="G20:I20"/>
    <mergeCell ref="B21:F21"/>
    <mergeCell ref="G21:I21"/>
    <mergeCell ref="A14:C14"/>
    <mergeCell ref="A16:I16"/>
    <mergeCell ref="B17:F17"/>
    <mergeCell ref="G17:I17"/>
    <mergeCell ref="B18:F18"/>
    <mergeCell ref="G18:I18"/>
    <mergeCell ref="A1:I1"/>
    <mergeCell ref="A2:I2"/>
    <mergeCell ref="A11:I11"/>
    <mergeCell ref="A12:C12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3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 x14ac:dyDescent="0.25"/>
  <cols>
    <col min="1" max="1" width="15" customWidth="1"/>
    <col min="2" max="12" width="10" customWidth="1"/>
    <col min="14" max="25" width="10" customWidth="1"/>
    <col min="27" max="38" width="10" customWidth="1"/>
    <col min="40" max="56" width="10" customWidth="1"/>
    <col min="57" max="59" width="11" customWidth="1"/>
    <col min="61" max="79" width="11" customWidth="1"/>
    <col min="81" max="100" width="11" customWidth="1"/>
  </cols>
  <sheetData>
    <row r="1" spans="1:100" ht="27.75" customHeight="1" x14ac:dyDescent="0.25">
      <c r="A1" s="14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</row>
    <row r="2" spans="1:100" ht="18" customHeight="1" x14ac:dyDescent="0.25">
      <c r="A2" s="5" t="s">
        <v>46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</row>
    <row r="3" spans="1:100" ht="30" customHeight="1" x14ac:dyDescent="0.25">
      <c r="A3" s="34" t="s">
        <v>47</v>
      </c>
      <c r="B3" s="4" t="s">
        <v>48</v>
      </c>
      <c r="C3" s="4"/>
      <c r="D3" s="4"/>
      <c r="E3" s="4"/>
      <c r="F3" s="4"/>
      <c r="G3" s="4"/>
      <c r="H3" s="4"/>
      <c r="I3" s="4"/>
      <c r="J3" s="4"/>
      <c r="K3" s="4"/>
      <c r="L3" s="4"/>
      <c r="N3" s="3" t="s">
        <v>49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AA3" s="2" t="s">
        <v>50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N3" s="1" t="s">
        <v>51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I3" s="4" t="s">
        <v>52</v>
      </c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C3" s="82" t="s">
        <v>53</v>
      </c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  <c r="CR3" s="82"/>
      <c r="CS3" s="82"/>
      <c r="CT3" s="82"/>
      <c r="CU3" s="82"/>
      <c r="CV3" s="82"/>
    </row>
    <row r="4" spans="1:100" ht="21.75" customHeight="1" x14ac:dyDescent="0.25">
      <c r="A4" s="35" t="s">
        <v>54</v>
      </c>
      <c r="B4" s="83" t="s">
        <v>55</v>
      </c>
      <c r="C4" s="83"/>
      <c r="D4" s="83"/>
      <c r="E4" s="83"/>
      <c r="F4" s="36" t="s">
        <v>56</v>
      </c>
      <c r="G4" s="83" t="s">
        <v>57</v>
      </c>
      <c r="H4" s="83"/>
      <c r="I4" s="83"/>
      <c r="J4" s="83" t="s">
        <v>58</v>
      </c>
      <c r="K4" s="83"/>
      <c r="L4" s="83"/>
      <c r="N4" s="84" t="s">
        <v>59</v>
      </c>
      <c r="O4" s="84"/>
      <c r="P4" s="84"/>
      <c r="Q4" s="84"/>
      <c r="R4" s="37" t="s">
        <v>56</v>
      </c>
      <c r="S4" s="37" t="s">
        <v>60</v>
      </c>
      <c r="T4" s="84" t="s">
        <v>61</v>
      </c>
      <c r="U4" s="84"/>
      <c r="V4" s="84"/>
      <c r="W4" s="84" t="s">
        <v>62</v>
      </c>
      <c r="X4" s="84"/>
      <c r="Y4" s="84"/>
      <c r="AA4" s="85" t="s">
        <v>59</v>
      </c>
      <c r="AB4" s="85"/>
      <c r="AC4" s="85"/>
      <c r="AD4" s="85"/>
      <c r="AE4" s="38" t="s">
        <v>56</v>
      </c>
      <c r="AF4" s="38" t="s">
        <v>63</v>
      </c>
      <c r="AG4" s="85" t="s">
        <v>64</v>
      </c>
      <c r="AH4" s="85"/>
      <c r="AI4" s="85"/>
      <c r="AJ4" s="85" t="s">
        <v>65</v>
      </c>
      <c r="AK4" s="85"/>
      <c r="AL4" s="85"/>
      <c r="AN4" s="86" t="s">
        <v>59</v>
      </c>
      <c r="AO4" s="86"/>
      <c r="AP4" s="86"/>
      <c r="AQ4" s="86"/>
      <c r="AR4" s="39" t="s">
        <v>56</v>
      </c>
      <c r="AS4" s="86" t="s">
        <v>66</v>
      </c>
      <c r="AT4" s="86"/>
      <c r="AU4" s="86"/>
      <c r="AV4" s="86"/>
      <c r="AW4" s="86" t="s">
        <v>67</v>
      </c>
      <c r="AX4" s="86"/>
      <c r="AY4" s="86"/>
      <c r="AZ4" s="86"/>
      <c r="BA4" s="86" t="s">
        <v>68</v>
      </c>
      <c r="BB4" s="86"/>
      <c r="BC4" s="86"/>
      <c r="BD4" s="86"/>
      <c r="BE4" s="86" t="s">
        <v>69</v>
      </c>
      <c r="BF4" s="86"/>
      <c r="BG4" s="86"/>
      <c r="BI4" s="83" t="s">
        <v>59</v>
      </c>
      <c r="BJ4" s="83"/>
      <c r="BK4" s="83"/>
      <c r="BL4" s="83"/>
      <c r="BM4" s="36" t="s">
        <v>56</v>
      </c>
      <c r="BN4" s="83" t="s">
        <v>66</v>
      </c>
      <c r="BO4" s="83"/>
      <c r="BP4" s="83"/>
      <c r="BQ4" s="83"/>
      <c r="BR4" s="83" t="s">
        <v>70</v>
      </c>
      <c r="BS4" s="83"/>
      <c r="BT4" s="83"/>
      <c r="BU4" s="83" t="s">
        <v>71</v>
      </c>
      <c r="BV4" s="83"/>
      <c r="BW4" s="83"/>
      <c r="BX4" s="83"/>
      <c r="BY4" s="83" t="s">
        <v>72</v>
      </c>
      <c r="BZ4" s="83"/>
      <c r="CA4" s="83"/>
      <c r="CC4" s="86" t="s">
        <v>59</v>
      </c>
      <c r="CD4" s="86"/>
      <c r="CE4" s="86"/>
      <c r="CF4" s="86"/>
      <c r="CG4" s="39" t="s">
        <v>56</v>
      </c>
      <c r="CH4" s="86" t="s">
        <v>66</v>
      </c>
      <c r="CI4" s="86"/>
      <c r="CJ4" s="86"/>
      <c r="CK4" s="86"/>
      <c r="CL4" s="86" t="s">
        <v>73</v>
      </c>
      <c r="CM4" s="86"/>
      <c r="CN4" s="86"/>
      <c r="CO4" s="86"/>
      <c r="CP4" s="86" t="s">
        <v>68</v>
      </c>
      <c r="CQ4" s="86"/>
      <c r="CR4" s="86"/>
      <c r="CS4" s="86"/>
      <c r="CT4" s="86" t="s">
        <v>74</v>
      </c>
      <c r="CU4" s="86"/>
      <c r="CV4" s="39"/>
    </row>
    <row r="5" spans="1:100" ht="21.75" customHeight="1" x14ac:dyDescent="0.25">
      <c r="A5" s="40" t="s">
        <v>75</v>
      </c>
      <c r="B5" s="41" t="s">
        <v>76</v>
      </c>
      <c r="C5" s="41" t="s">
        <v>77</v>
      </c>
      <c r="D5" s="41" t="s">
        <v>78</v>
      </c>
      <c r="E5" s="41" t="s">
        <v>79</v>
      </c>
      <c r="F5" s="41" t="s">
        <v>56</v>
      </c>
      <c r="G5" s="41" t="s">
        <v>80</v>
      </c>
      <c r="H5" s="41" t="s">
        <v>81</v>
      </c>
      <c r="I5" s="41" t="s">
        <v>82</v>
      </c>
      <c r="J5" s="41" t="s">
        <v>83</v>
      </c>
      <c r="K5" s="41" t="s">
        <v>84</v>
      </c>
      <c r="L5" s="41" t="s">
        <v>85</v>
      </c>
      <c r="N5" s="42" t="s">
        <v>76</v>
      </c>
      <c r="O5" s="42" t="s">
        <v>77</v>
      </c>
      <c r="P5" s="42" t="s">
        <v>78</v>
      </c>
      <c r="Q5" s="42" t="s">
        <v>79</v>
      </c>
      <c r="R5" s="42" t="s">
        <v>56</v>
      </c>
      <c r="S5" s="42" t="s">
        <v>86</v>
      </c>
      <c r="T5" s="42" t="s">
        <v>80</v>
      </c>
      <c r="U5" s="42" t="s">
        <v>81</v>
      </c>
      <c r="V5" s="42" t="s">
        <v>82</v>
      </c>
      <c r="W5" s="42" t="s">
        <v>83</v>
      </c>
      <c r="X5" s="42" t="s">
        <v>84</v>
      </c>
      <c r="Y5" s="42" t="s">
        <v>85</v>
      </c>
      <c r="AA5" s="43" t="s">
        <v>76</v>
      </c>
      <c r="AB5" s="43" t="s">
        <v>77</v>
      </c>
      <c r="AC5" s="43" t="s">
        <v>78</v>
      </c>
      <c r="AD5" s="43" t="s">
        <v>79</v>
      </c>
      <c r="AE5" s="43" t="s">
        <v>56</v>
      </c>
      <c r="AF5" s="43" t="s">
        <v>87</v>
      </c>
      <c r="AG5" s="43" t="s">
        <v>80</v>
      </c>
      <c r="AH5" s="43" t="s">
        <v>81</v>
      </c>
      <c r="AI5" s="43" t="s">
        <v>82</v>
      </c>
      <c r="AJ5" s="43" t="s">
        <v>83</v>
      </c>
      <c r="AK5" s="43" t="s">
        <v>84</v>
      </c>
      <c r="AL5" s="43" t="s">
        <v>85</v>
      </c>
      <c r="AN5" s="44" t="s">
        <v>76</v>
      </c>
      <c r="AO5" s="44" t="s">
        <v>77</v>
      </c>
      <c r="AP5" s="44" t="s">
        <v>78</v>
      </c>
      <c r="AQ5" s="44" t="s">
        <v>79</v>
      </c>
      <c r="AR5" s="44" t="s">
        <v>56</v>
      </c>
      <c r="AS5" s="44" t="s">
        <v>87</v>
      </c>
      <c r="AT5" s="44" t="s">
        <v>80</v>
      </c>
      <c r="AU5" s="44" t="s">
        <v>81</v>
      </c>
      <c r="AV5" s="44" t="s">
        <v>82</v>
      </c>
      <c r="AW5" s="44" t="s">
        <v>88</v>
      </c>
      <c r="AX5" s="44" t="s">
        <v>89</v>
      </c>
      <c r="AY5" s="44" t="s">
        <v>90</v>
      </c>
      <c r="AZ5" s="44" t="s">
        <v>91</v>
      </c>
      <c r="BA5" s="44" t="s">
        <v>92</v>
      </c>
      <c r="BB5" s="44" t="s">
        <v>93</v>
      </c>
      <c r="BC5" s="44" t="s">
        <v>94</v>
      </c>
      <c r="BD5" s="44" t="s">
        <v>95</v>
      </c>
      <c r="BE5" s="44" t="s">
        <v>83</v>
      </c>
      <c r="BF5" s="44" t="s">
        <v>84</v>
      </c>
      <c r="BG5" s="44" t="s">
        <v>85</v>
      </c>
      <c r="BI5" s="41" t="s">
        <v>76</v>
      </c>
      <c r="BJ5" s="41" t="s">
        <v>77</v>
      </c>
      <c r="BK5" s="41" t="s">
        <v>78</v>
      </c>
      <c r="BL5" s="41" t="s">
        <v>79</v>
      </c>
      <c r="BM5" s="41" t="s">
        <v>56</v>
      </c>
      <c r="BN5" s="41" t="s">
        <v>87</v>
      </c>
      <c r="BO5" s="41" t="s">
        <v>80</v>
      </c>
      <c r="BP5" s="41" t="s">
        <v>81</v>
      </c>
      <c r="BQ5" s="41" t="s">
        <v>82</v>
      </c>
      <c r="BR5" s="41" t="s">
        <v>83</v>
      </c>
      <c r="BS5" s="41" t="s">
        <v>84</v>
      </c>
      <c r="BT5" s="41" t="s">
        <v>85</v>
      </c>
      <c r="BU5" s="41" t="s">
        <v>88</v>
      </c>
      <c r="BV5" s="41" t="s">
        <v>89</v>
      </c>
      <c r="BW5" s="41" t="s">
        <v>90</v>
      </c>
      <c r="BX5" s="41" t="s">
        <v>91</v>
      </c>
      <c r="BY5" s="41" t="s">
        <v>96</v>
      </c>
      <c r="BZ5" s="41" t="s">
        <v>97</v>
      </c>
      <c r="CA5" s="41" t="s">
        <v>98</v>
      </c>
      <c r="CC5" s="44" t="s">
        <v>76</v>
      </c>
      <c r="CD5" s="44" t="s">
        <v>77</v>
      </c>
      <c r="CE5" s="44" t="s">
        <v>78</v>
      </c>
      <c r="CF5" s="44" t="s">
        <v>79</v>
      </c>
      <c r="CG5" s="44" t="s">
        <v>56</v>
      </c>
      <c r="CH5" s="44" t="s">
        <v>87</v>
      </c>
      <c r="CI5" s="44" t="s">
        <v>80</v>
      </c>
      <c r="CJ5" s="44" t="s">
        <v>81</v>
      </c>
      <c r="CK5" s="44" t="s">
        <v>82</v>
      </c>
      <c r="CL5" s="44" t="s">
        <v>88</v>
      </c>
      <c r="CM5" s="44" t="s">
        <v>89</v>
      </c>
      <c r="CN5" s="44" t="s">
        <v>90</v>
      </c>
      <c r="CO5" s="44" t="s">
        <v>91</v>
      </c>
      <c r="CP5" s="44" t="s">
        <v>92</v>
      </c>
      <c r="CQ5" s="44" t="s">
        <v>93</v>
      </c>
      <c r="CR5" s="44" t="s">
        <v>94</v>
      </c>
      <c r="CS5" s="44" t="s">
        <v>95</v>
      </c>
      <c r="CT5" s="44" t="s">
        <v>99</v>
      </c>
      <c r="CU5" s="44" t="s">
        <v>100</v>
      </c>
      <c r="CV5" s="44" t="s">
        <v>101</v>
      </c>
    </row>
    <row r="6" spans="1:100" ht="19.5" customHeight="1" x14ac:dyDescent="0.25">
      <c r="A6" s="45" t="s">
        <v>102</v>
      </c>
      <c r="B6" s="46">
        <v>1</v>
      </c>
      <c r="C6" s="46">
        <v>27</v>
      </c>
      <c r="D6" s="46">
        <v>4</v>
      </c>
      <c r="E6" s="46">
        <v>24</v>
      </c>
      <c r="F6" s="47">
        <v>1.65</v>
      </c>
      <c r="G6" s="48">
        <v>44.55</v>
      </c>
      <c r="H6" s="48">
        <v>6.6</v>
      </c>
      <c r="I6" s="48">
        <v>39.6</v>
      </c>
      <c r="J6" s="49">
        <v>44.55</v>
      </c>
      <c r="K6" s="49">
        <v>6.6</v>
      </c>
      <c r="L6" s="49">
        <v>39.6</v>
      </c>
      <c r="N6" s="50">
        <v>1</v>
      </c>
      <c r="O6" s="50">
        <v>27</v>
      </c>
      <c r="P6" s="50">
        <v>4</v>
      </c>
      <c r="Q6" s="50">
        <v>24</v>
      </c>
      <c r="R6" s="51">
        <v>1.65</v>
      </c>
      <c r="S6" s="52">
        <v>3</v>
      </c>
      <c r="T6" s="48">
        <v>44.55</v>
      </c>
      <c r="U6" s="48">
        <v>6.6</v>
      </c>
      <c r="V6" s="48">
        <v>39.6</v>
      </c>
      <c r="W6" s="49">
        <v>133.65</v>
      </c>
      <c r="X6" s="49">
        <v>19.8</v>
      </c>
      <c r="Y6" s="49">
        <v>118.8</v>
      </c>
      <c r="AA6" s="50">
        <v>1</v>
      </c>
      <c r="AB6" s="50">
        <v>27</v>
      </c>
      <c r="AC6" s="50">
        <v>4</v>
      </c>
      <c r="AD6" s="50">
        <v>24</v>
      </c>
      <c r="AE6" s="53">
        <v>1.65</v>
      </c>
      <c r="AF6" s="54">
        <v>1.65</v>
      </c>
      <c r="AG6" s="55">
        <v>44.55</v>
      </c>
      <c r="AH6" s="55">
        <v>6.6</v>
      </c>
      <c r="AI6" s="55">
        <v>39.6</v>
      </c>
      <c r="AJ6" s="56">
        <v>73.507499999999993</v>
      </c>
      <c r="AK6" s="56">
        <v>10.89</v>
      </c>
      <c r="AL6" s="56">
        <v>65.34</v>
      </c>
      <c r="AN6" s="50">
        <v>1</v>
      </c>
      <c r="AO6" s="50">
        <v>27</v>
      </c>
      <c r="AP6" s="50">
        <v>4</v>
      </c>
      <c r="AQ6" s="50">
        <v>24</v>
      </c>
      <c r="AR6" s="57">
        <v>1.65</v>
      </c>
      <c r="AS6" s="58">
        <v>1.65</v>
      </c>
      <c r="AT6" s="58">
        <v>44.55</v>
      </c>
      <c r="AU6" s="58">
        <v>6.6</v>
      </c>
      <c r="AV6" s="58">
        <v>39.6</v>
      </c>
      <c r="AW6" s="59">
        <v>2.7225000000000001</v>
      </c>
      <c r="AX6" s="59">
        <v>1984.7025000000001</v>
      </c>
      <c r="AY6" s="59">
        <v>43.56</v>
      </c>
      <c r="AZ6" s="59">
        <v>1568.16</v>
      </c>
      <c r="BA6" s="60">
        <v>0.71356397036853902</v>
      </c>
      <c r="BB6" s="60">
        <v>0.89736877414343996</v>
      </c>
      <c r="BC6" s="60">
        <v>7.5642618951957799E-2</v>
      </c>
      <c r="BD6" s="60">
        <v>0.59526797952561805</v>
      </c>
      <c r="BE6" s="56">
        <v>0.64033002536254102</v>
      </c>
      <c r="BF6" s="56">
        <v>5.3975847508433497E-2</v>
      </c>
      <c r="BG6" s="56">
        <v>0.42476178290355798</v>
      </c>
      <c r="BI6" s="50">
        <v>1</v>
      </c>
      <c r="BJ6" s="50">
        <v>27</v>
      </c>
      <c r="BK6" s="50">
        <v>4</v>
      </c>
      <c r="BL6" s="50">
        <v>24</v>
      </c>
      <c r="BM6" s="61">
        <v>1.65</v>
      </c>
      <c r="BN6" s="55">
        <v>1.65</v>
      </c>
      <c r="BO6" s="55">
        <v>44.55</v>
      </c>
      <c r="BP6" s="55">
        <v>6.6</v>
      </c>
      <c r="BQ6" s="55">
        <v>39.6</v>
      </c>
      <c r="BR6" s="56">
        <v>73.507499999999993</v>
      </c>
      <c r="BS6" s="56">
        <v>10.89</v>
      </c>
      <c r="BT6" s="56">
        <v>65.34</v>
      </c>
      <c r="BU6" s="59">
        <v>2.7225000000000001</v>
      </c>
      <c r="BV6" s="59">
        <v>1984.7025000000001</v>
      </c>
      <c r="BW6" s="59">
        <v>43.56</v>
      </c>
      <c r="BX6" s="59">
        <v>1568.16</v>
      </c>
      <c r="BY6" s="62" t="s">
        <v>103</v>
      </c>
      <c r="BZ6" s="62" t="s">
        <v>103</v>
      </c>
      <c r="CA6" s="62" t="s">
        <v>103</v>
      </c>
      <c r="CC6" s="50">
        <v>1</v>
      </c>
      <c r="CD6" s="50">
        <v>27</v>
      </c>
      <c r="CE6" s="50">
        <v>4</v>
      </c>
      <c r="CF6" s="50">
        <v>24</v>
      </c>
      <c r="CG6" s="63">
        <v>1.65</v>
      </c>
      <c r="CH6" s="58">
        <v>1.65</v>
      </c>
      <c r="CI6" s="58">
        <v>44.55</v>
      </c>
      <c r="CJ6" s="58">
        <v>6.6</v>
      </c>
      <c r="CK6" s="58">
        <v>39.6</v>
      </c>
      <c r="CL6" s="59">
        <v>2.7225000000000001</v>
      </c>
      <c r="CM6" s="59">
        <v>1984.7025000000001</v>
      </c>
      <c r="CN6" s="59">
        <v>43.56</v>
      </c>
      <c r="CO6" s="59">
        <v>1568.16</v>
      </c>
      <c r="CP6" s="64">
        <v>0.71356397036853902</v>
      </c>
      <c r="CQ6" s="64">
        <v>0.89736877414343996</v>
      </c>
      <c r="CR6" s="64">
        <v>7.5642618951957799E-2</v>
      </c>
      <c r="CS6" s="64">
        <v>0.59526797952561805</v>
      </c>
      <c r="CT6" s="56">
        <v>0.64033002536254102</v>
      </c>
      <c r="CU6" s="56">
        <v>5.3975847508433497E-2</v>
      </c>
      <c r="CV6" s="56">
        <v>0.42476178290355798</v>
      </c>
    </row>
    <row r="7" spans="1:100" ht="19.5" customHeight="1" x14ac:dyDescent="0.25">
      <c r="A7" s="45" t="s">
        <v>104</v>
      </c>
      <c r="B7" s="46">
        <v>0</v>
      </c>
      <c r="C7" s="46">
        <v>3</v>
      </c>
      <c r="D7" s="46">
        <v>33</v>
      </c>
      <c r="E7" s="46">
        <v>0</v>
      </c>
      <c r="F7" s="47">
        <v>2.08</v>
      </c>
      <c r="G7" s="48">
        <v>6.24</v>
      </c>
      <c r="H7" s="48">
        <v>68.64</v>
      </c>
      <c r="I7" s="48">
        <v>0</v>
      </c>
      <c r="J7" s="49">
        <v>0</v>
      </c>
      <c r="K7" s="49">
        <v>0</v>
      </c>
      <c r="L7" s="49">
        <v>0</v>
      </c>
      <c r="N7" s="50">
        <v>0</v>
      </c>
      <c r="O7" s="50">
        <v>3</v>
      </c>
      <c r="P7" s="50">
        <v>33</v>
      </c>
      <c r="Q7" s="50">
        <v>0</v>
      </c>
      <c r="R7" s="51">
        <v>2.08</v>
      </c>
      <c r="S7" s="52">
        <v>0</v>
      </c>
      <c r="T7" s="48">
        <v>6.24</v>
      </c>
      <c r="U7" s="48">
        <v>68.64</v>
      </c>
      <c r="V7" s="48">
        <v>0</v>
      </c>
      <c r="W7" s="49">
        <v>0</v>
      </c>
      <c r="X7" s="49">
        <v>0</v>
      </c>
      <c r="Y7" s="49">
        <v>0</v>
      </c>
      <c r="AA7" s="50">
        <v>0</v>
      </c>
      <c r="AB7" s="50">
        <v>3</v>
      </c>
      <c r="AC7" s="50">
        <v>33</v>
      </c>
      <c r="AD7" s="50">
        <v>0</v>
      </c>
      <c r="AE7" s="53">
        <v>2.08</v>
      </c>
      <c r="AF7" s="54">
        <v>0</v>
      </c>
      <c r="AG7" s="55">
        <v>6.24</v>
      </c>
      <c r="AH7" s="55">
        <v>68.64</v>
      </c>
      <c r="AI7" s="55">
        <v>0</v>
      </c>
      <c r="AJ7" s="56">
        <v>0</v>
      </c>
      <c r="AK7" s="56">
        <v>0</v>
      </c>
      <c r="AL7" s="56">
        <v>0</v>
      </c>
      <c r="AN7" s="50">
        <v>0</v>
      </c>
      <c r="AO7" s="50">
        <v>3</v>
      </c>
      <c r="AP7" s="50">
        <v>33</v>
      </c>
      <c r="AQ7" s="50">
        <v>0</v>
      </c>
      <c r="AR7" s="57">
        <v>2.08</v>
      </c>
      <c r="AS7" s="58">
        <v>0</v>
      </c>
      <c r="AT7" s="58">
        <v>6.24</v>
      </c>
      <c r="AU7" s="58">
        <v>68.64</v>
      </c>
      <c r="AV7" s="58">
        <v>0</v>
      </c>
      <c r="AW7" s="59">
        <v>0</v>
      </c>
      <c r="AX7" s="59">
        <v>38.937600000000003</v>
      </c>
      <c r="AY7" s="59">
        <v>4711.4495999999999</v>
      </c>
      <c r="AZ7" s="59">
        <v>0</v>
      </c>
      <c r="BA7" s="60">
        <v>0</v>
      </c>
      <c r="BB7" s="60">
        <v>0.12569205725376101</v>
      </c>
      <c r="BC7" s="60">
        <v>0.78668323710036103</v>
      </c>
      <c r="BD7" s="60">
        <v>0</v>
      </c>
      <c r="BE7" s="56">
        <v>0</v>
      </c>
      <c r="BF7" s="56">
        <v>0</v>
      </c>
      <c r="BG7" s="56">
        <v>0</v>
      </c>
      <c r="BI7" s="50">
        <v>0</v>
      </c>
      <c r="BJ7" s="50">
        <v>3</v>
      </c>
      <c r="BK7" s="50">
        <v>33</v>
      </c>
      <c r="BL7" s="50">
        <v>0</v>
      </c>
      <c r="BM7" s="61">
        <v>2.08</v>
      </c>
      <c r="BN7" s="55">
        <v>0</v>
      </c>
      <c r="BO7" s="55">
        <v>6.24</v>
      </c>
      <c r="BP7" s="55">
        <v>68.64</v>
      </c>
      <c r="BQ7" s="55">
        <v>0</v>
      </c>
      <c r="BR7" s="56">
        <v>0</v>
      </c>
      <c r="BS7" s="56">
        <v>0</v>
      </c>
      <c r="BT7" s="56">
        <v>0</v>
      </c>
      <c r="BU7" s="59">
        <v>0</v>
      </c>
      <c r="BV7" s="59">
        <v>38.937600000000003</v>
      </c>
      <c r="BW7" s="59">
        <v>4711.4495999999999</v>
      </c>
      <c r="BX7" s="59">
        <v>0</v>
      </c>
      <c r="BY7" s="62" t="s">
        <v>103</v>
      </c>
      <c r="BZ7" s="62" t="s">
        <v>103</v>
      </c>
      <c r="CA7" s="62" t="s">
        <v>103</v>
      </c>
      <c r="CC7" s="50">
        <v>0</v>
      </c>
      <c r="CD7" s="50">
        <v>3</v>
      </c>
      <c r="CE7" s="50">
        <v>33</v>
      </c>
      <c r="CF7" s="50">
        <v>0</v>
      </c>
      <c r="CG7" s="63">
        <v>2.08</v>
      </c>
      <c r="CH7" s="58">
        <v>0</v>
      </c>
      <c r="CI7" s="58">
        <v>6.24</v>
      </c>
      <c r="CJ7" s="58">
        <v>68.64</v>
      </c>
      <c r="CK7" s="58">
        <v>0</v>
      </c>
      <c r="CL7" s="59">
        <v>0</v>
      </c>
      <c r="CM7" s="59">
        <v>38.937600000000003</v>
      </c>
      <c r="CN7" s="59">
        <v>4711.4495999999999</v>
      </c>
      <c r="CO7" s="59">
        <v>0</v>
      </c>
      <c r="CP7" s="64">
        <v>0</v>
      </c>
      <c r="CQ7" s="64">
        <v>0.12569205725376101</v>
      </c>
      <c r="CR7" s="64">
        <v>0.78668323710036103</v>
      </c>
      <c r="CS7" s="64">
        <v>0</v>
      </c>
      <c r="CT7" s="56">
        <v>0</v>
      </c>
      <c r="CU7" s="56">
        <v>0</v>
      </c>
      <c r="CV7" s="56">
        <v>0</v>
      </c>
    </row>
    <row r="8" spans="1:100" ht="19.5" customHeight="1" x14ac:dyDescent="0.25">
      <c r="A8" s="45" t="s">
        <v>105</v>
      </c>
      <c r="B8" s="46">
        <v>1</v>
      </c>
      <c r="C8" s="46">
        <v>0</v>
      </c>
      <c r="D8" s="46">
        <v>33</v>
      </c>
      <c r="E8" s="46">
        <v>29</v>
      </c>
      <c r="F8" s="47">
        <v>1.62</v>
      </c>
      <c r="G8" s="48">
        <v>0</v>
      </c>
      <c r="H8" s="48">
        <v>53.46</v>
      </c>
      <c r="I8" s="48">
        <v>46.98</v>
      </c>
      <c r="J8" s="49">
        <v>0</v>
      </c>
      <c r="K8" s="49">
        <v>53.46</v>
      </c>
      <c r="L8" s="49">
        <v>46.98</v>
      </c>
      <c r="N8" s="50">
        <v>1</v>
      </c>
      <c r="O8" s="50">
        <v>0</v>
      </c>
      <c r="P8" s="50">
        <v>33</v>
      </c>
      <c r="Q8" s="50">
        <v>29</v>
      </c>
      <c r="R8" s="51">
        <v>1.62</v>
      </c>
      <c r="S8" s="52">
        <v>1</v>
      </c>
      <c r="T8" s="48">
        <v>0</v>
      </c>
      <c r="U8" s="48">
        <v>53.46</v>
      </c>
      <c r="V8" s="48">
        <v>46.98</v>
      </c>
      <c r="W8" s="49">
        <v>0</v>
      </c>
      <c r="X8" s="49">
        <v>53.46</v>
      </c>
      <c r="Y8" s="49">
        <v>46.98</v>
      </c>
      <c r="AA8" s="50">
        <v>1</v>
      </c>
      <c r="AB8" s="50">
        <v>0</v>
      </c>
      <c r="AC8" s="50">
        <v>33</v>
      </c>
      <c r="AD8" s="50">
        <v>29</v>
      </c>
      <c r="AE8" s="53">
        <v>1.62</v>
      </c>
      <c r="AF8" s="54">
        <v>1.62</v>
      </c>
      <c r="AG8" s="55">
        <v>0</v>
      </c>
      <c r="AH8" s="55">
        <v>53.46</v>
      </c>
      <c r="AI8" s="55">
        <v>46.98</v>
      </c>
      <c r="AJ8" s="56">
        <v>0</v>
      </c>
      <c r="AK8" s="56">
        <v>86.605199999999996</v>
      </c>
      <c r="AL8" s="56">
        <v>76.107600000000005</v>
      </c>
      <c r="AN8" s="50">
        <v>1</v>
      </c>
      <c r="AO8" s="50">
        <v>0</v>
      </c>
      <c r="AP8" s="50">
        <v>33</v>
      </c>
      <c r="AQ8" s="50">
        <v>29</v>
      </c>
      <c r="AR8" s="57">
        <v>1.62</v>
      </c>
      <c r="AS8" s="58">
        <v>1.62</v>
      </c>
      <c r="AT8" s="58">
        <v>0</v>
      </c>
      <c r="AU8" s="58">
        <v>53.46</v>
      </c>
      <c r="AV8" s="58">
        <v>46.98</v>
      </c>
      <c r="AW8" s="59">
        <v>2.6244000000000001</v>
      </c>
      <c r="AX8" s="59">
        <v>0</v>
      </c>
      <c r="AY8" s="59">
        <v>2857.9715999999999</v>
      </c>
      <c r="AZ8" s="59">
        <v>2207.1203999999998</v>
      </c>
      <c r="BA8" s="60">
        <v>0.700590079998202</v>
      </c>
      <c r="BB8" s="60">
        <v>0</v>
      </c>
      <c r="BC8" s="60">
        <v>0.61270521351085805</v>
      </c>
      <c r="BD8" s="60">
        <v>0.70620428480084696</v>
      </c>
      <c r="BE8" s="56">
        <v>0</v>
      </c>
      <c r="BF8" s="56">
        <v>0.429255194548887</v>
      </c>
      <c r="BG8" s="56">
        <v>0.49475971638369898</v>
      </c>
      <c r="BI8" s="50">
        <v>1</v>
      </c>
      <c r="BJ8" s="50">
        <v>0</v>
      </c>
      <c r="BK8" s="50">
        <v>33</v>
      </c>
      <c r="BL8" s="50">
        <v>29</v>
      </c>
      <c r="BM8" s="61">
        <v>1.62</v>
      </c>
      <c r="BN8" s="55">
        <v>1.62</v>
      </c>
      <c r="BO8" s="55">
        <v>0</v>
      </c>
      <c r="BP8" s="55">
        <v>53.46</v>
      </c>
      <c r="BQ8" s="55">
        <v>46.98</v>
      </c>
      <c r="BR8" s="56">
        <v>0</v>
      </c>
      <c r="BS8" s="56">
        <v>86.605199999999996</v>
      </c>
      <c r="BT8" s="56">
        <v>76.107600000000005</v>
      </c>
      <c r="BU8" s="59">
        <v>2.6244000000000001</v>
      </c>
      <c r="BV8" s="59">
        <v>0</v>
      </c>
      <c r="BW8" s="59">
        <v>2857.9715999999999</v>
      </c>
      <c r="BX8" s="59">
        <v>2207.1203999999998</v>
      </c>
      <c r="BY8" s="62" t="s">
        <v>103</v>
      </c>
      <c r="BZ8" s="62" t="s">
        <v>103</v>
      </c>
      <c r="CA8" s="62" t="s">
        <v>103</v>
      </c>
      <c r="CC8" s="50">
        <v>1</v>
      </c>
      <c r="CD8" s="50">
        <v>0</v>
      </c>
      <c r="CE8" s="50">
        <v>33</v>
      </c>
      <c r="CF8" s="50">
        <v>29</v>
      </c>
      <c r="CG8" s="63">
        <v>1.62</v>
      </c>
      <c r="CH8" s="58">
        <v>1.62</v>
      </c>
      <c r="CI8" s="58">
        <v>0</v>
      </c>
      <c r="CJ8" s="58">
        <v>53.46</v>
      </c>
      <c r="CK8" s="58">
        <v>46.98</v>
      </c>
      <c r="CL8" s="59">
        <v>2.6244000000000001</v>
      </c>
      <c r="CM8" s="59">
        <v>0</v>
      </c>
      <c r="CN8" s="59">
        <v>2857.9715999999999</v>
      </c>
      <c r="CO8" s="59">
        <v>2207.1203999999998</v>
      </c>
      <c r="CP8" s="64">
        <v>0.700590079998202</v>
      </c>
      <c r="CQ8" s="64">
        <v>0</v>
      </c>
      <c r="CR8" s="64">
        <v>0.61270521351085805</v>
      </c>
      <c r="CS8" s="64">
        <v>0.70620428480084696</v>
      </c>
      <c r="CT8" s="56">
        <v>0</v>
      </c>
      <c r="CU8" s="56">
        <v>0.429255194548887</v>
      </c>
      <c r="CV8" s="56">
        <v>0.49475971638369898</v>
      </c>
    </row>
    <row r="9" spans="1:100" ht="19.5" customHeight="1" x14ac:dyDescent="0.25">
      <c r="A9" s="45" t="s">
        <v>106</v>
      </c>
      <c r="B9" s="46">
        <v>0</v>
      </c>
      <c r="C9" s="46">
        <v>14</v>
      </c>
      <c r="D9" s="46">
        <v>0</v>
      </c>
      <c r="E9" s="46">
        <v>17</v>
      </c>
      <c r="F9" s="47">
        <v>1.5</v>
      </c>
      <c r="G9" s="48">
        <v>21</v>
      </c>
      <c r="H9" s="48">
        <v>0</v>
      </c>
      <c r="I9" s="48">
        <v>25.5</v>
      </c>
      <c r="J9" s="49">
        <v>0</v>
      </c>
      <c r="K9" s="49">
        <v>0</v>
      </c>
      <c r="L9" s="49">
        <v>0</v>
      </c>
      <c r="N9" s="50">
        <v>0</v>
      </c>
      <c r="O9" s="50">
        <v>14</v>
      </c>
      <c r="P9" s="50">
        <v>0</v>
      </c>
      <c r="Q9" s="50">
        <v>17</v>
      </c>
      <c r="R9" s="51">
        <v>1.5</v>
      </c>
      <c r="S9" s="52">
        <v>0</v>
      </c>
      <c r="T9" s="48">
        <v>21</v>
      </c>
      <c r="U9" s="48">
        <v>0</v>
      </c>
      <c r="V9" s="48">
        <v>25.5</v>
      </c>
      <c r="W9" s="49">
        <v>0</v>
      </c>
      <c r="X9" s="49">
        <v>0</v>
      </c>
      <c r="Y9" s="49">
        <v>0</v>
      </c>
      <c r="AA9" s="50">
        <v>0</v>
      </c>
      <c r="AB9" s="50">
        <v>14</v>
      </c>
      <c r="AC9" s="50">
        <v>0</v>
      </c>
      <c r="AD9" s="50">
        <v>17</v>
      </c>
      <c r="AE9" s="53">
        <v>1.5</v>
      </c>
      <c r="AF9" s="54">
        <v>0</v>
      </c>
      <c r="AG9" s="55">
        <v>21</v>
      </c>
      <c r="AH9" s="55">
        <v>0</v>
      </c>
      <c r="AI9" s="55">
        <v>25.5</v>
      </c>
      <c r="AJ9" s="56">
        <v>0</v>
      </c>
      <c r="AK9" s="56">
        <v>0</v>
      </c>
      <c r="AL9" s="56">
        <v>0</v>
      </c>
      <c r="AN9" s="50">
        <v>0</v>
      </c>
      <c r="AO9" s="50">
        <v>14</v>
      </c>
      <c r="AP9" s="50">
        <v>0</v>
      </c>
      <c r="AQ9" s="50">
        <v>17</v>
      </c>
      <c r="AR9" s="57">
        <v>1.5</v>
      </c>
      <c r="AS9" s="58">
        <v>0</v>
      </c>
      <c r="AT9" s="58">
        <v>21</v>
      </c>
      <c r="AU9" s="58">
        <v>0</v>
      </c>
      <c r="AV9" s="58">
        <v>25.5</v>
      </c>
      <c r="AW9" s="59">
        <v>0</v>
      </c>
      <c r="AX9" s="59">
        <v>441</v>
      </c>
      <c r="AY9" s="59">
        <v>0</v>
      </c>
      <c r="AZ9" s="59">
        <v>650.25</v>
      </c>
      <c r="BA9" s="60">
        <v>0</v>
      </c>
      <c r="BB9" s="60">
        <v>0.42300211575785002</v>
      </c>
      <c r="BC9" s="60">
        <v>0</v>
      </c>
      <c r="BD9" s="60">
        <v>0.38331650196725398</v>
      </c>
      <c r="BE9" s="56">
        <v>0</v>
      </c>
      <c r="BF9" s="56">
        <v>0</v>
      </c>
      <c r="BG9" s="56">
        <v>0</v>
      </c>
      <c r="BI9" s="50">
        <v>0</v>
      </c>
      <c r="BJ9" s="50">
        <v>14</v>
      </c>
      <c r="BK9" s="50">
        <v>0</v>
      </c>
      <c r="BL9" s="50">
        <v>17</v>
      </c>
      <c r="BM9" s="61">
        <v>1.5</v>
      </c>
      <c r="BN9" s="55">
        <v>0</v>
      </c>
      <c r="BO9" s="55">
        <v>21</v>
      </c>
      <c r="BP9" s="55">
        <v>0</v>
      </c>
      <c r="BQ9" s="55">
        <v>25.5</v>
      </c>
      <c r="BR9" s="56">
        <v>0</v>
      </c>
      <c r="BS9" s="56">
        <v>0</v>
      </c>
      <c r="BT9" s="56">
        <v>0</v>
      </c>
      <c r="BU9" s="59">
        <v>0</v>
      </c>
      <c r="BV9" s="59">
        <v>441</v>
      </c>
      <c r="BW9" s="59">
        <v>0</v>
      </c>
      <c r="BX9" s="59">
        <v>650.25</v>
      </c>
      <c r="BY9" s="62" t="s">
        <v>103</v>
      </c>
      <c r="BZ9" s="62" t="s">
        <v>103</v>
      </c>
      <c r="CA9" s="62" t="s">
        <v>103</v>
      </c>
      <c r="CC9" s="50">
        <v>0</v>
      </c>
      <c r="CD9" s="50">
        <v>14</v>
      </c>
      <c r="CE9" s="50">
        <v>0</v>
      </c>
      <c r="CF9" s="50">
        <v>17</v>
      </c>
      <c r="CG9" s="63">
        <v>1.5</v>
      </c>
      <c r="CH9" s="58">
        <v>0</v>
      </c>
      <c r="CI9" s="58">
        <v>21</v>
      </c>
      <c r="CJ9" s="58">
        <v>0</v>
      </c>
      <c r="CK9" s="58">
        <v>25.5</v>
      </c>
      <c r="CL9" s="59">
        <v>0</v>
      </c>
      <c r="CM9" s="59">
        <v>441</v>
      </c>
      <c r="CN9" s="59">
        <v>0</v>
      </c>
      <c r="CO9" s="59">
        <v>650.25</v>
      </c>
      <c r="CP9" s="64">
        <v>0</v>
      </c>
      <c r="CQ9" s="64">
        <v>0.42300211575785002</v>
      </c>
      <c r="CR9" s="64">
        <v>0</v>
      </c>
      <c r="CS9" s="64">
        <v>0.38331650196725398</v>
      </c>
      <c r="CT9" s="56">
        <v>0</v>
      </c>
      <c r="CU9" s="56">
        <v>0</v>
      </c>
      <c r="CV9" s="56">
        <v>0</v>
      </c>
    </row>
    <row r="10" spans="1:100" ht="19.5" customHeight="1" x14ac:dyDescent="0.25">
      <c r="A10" s="65" t="s">
        <v>107</v>
      </c>
      <c r="B10" s="66"/>
      <c r="C10" s="66"/>
      <c r="D10" s="66"/>
      <c r="E10" s="66"/>
      <c r="F10" s="67"/>
      <c r="G10" s="68"/>
      <c r="H10" s="68"/>
      <c r="I10" s="68"/>
      <c r="J10" s="69">
        <f>SUM(J6:J9)</f>
        <v>44.55</v>
      </c>
      <c r="K10" s="69">
        <f>SUM(K6:K9)</f>
        <v>60.06</v>
      </c>
      <c r="L10" s="69">
        <f>SUM(L6:L9)</f>
        <v>86.58</v>
      </c>
      <c r="N10" s="66"/>
      <c r="O10" s="66"/>
      <c r="P10" s="66"/>
      <c r="Q10" s="66"/>
      <c r="R10" s="66"/>
      <c r="S10" s="66"/>
      <c r="T10" s="66"/>
      <c r="U10" s="66"/>
      <c r="V10" s="66"/>
      <c r="W10" s="69">
        <f>SUM(W6:W9)</f>
        <v>133.65</v>
      </c>
      <c r="X10" s="69">
        <f>SUM(X6:X9)</f>
        <v>73.260000000000005</v>
      </c>
      <c r="Y10" s="69">
        <f>SUM(Y6:Y9)</f>
        <v>165.78</v>
      </c>
      <c r="AA10" s="66"/>
      <c r="AB10" s="66"/>
      <c r="AC10" s="66"/>
      <c r="AD10" s="66"/>
      <c r="AE10" s="66"/>
      <c r="AF10" s="66"/>
      <c r="AG10" s="66"/>
      <c r="AH10" s="66"/>
      <c r="AI10" s="66"/>
      <c r="AJ10" s="70">
        <f>SUM(AJ6:AJ9)</f>
        <v>73.507499999999993</v>
      </c>
      <c r="AK10" s="70">
        <f>SUM(AK6:AK9)</f>
        <v>97.495199999999997</v>
      </c>
      <c r="AL10" s="70">
        <f>SUM(AL6:AL9)</f>
        <v>141.44760000000002</v>
      </c>
      <c r="AN10" s="71"/>
      <c r="AO10" s="71"/>
      <c r="AP10" s="71"/>
      <c r="AQ10" s="71"/>
      <c r="AR10" s="71"/>
      <c r="AS10" s="71"/>
      <c r="AT10" s="71"/>
      <c r="AU10" s="71"/>
      <c r="AV10" s="71"/>
      <c r="AW10" s="72">
        <f>SUM(AW6:AW9)</f>
        <v>5.3468999999999998</v>
      </c>
      <c r="AX10" s="72">
        <f>SUM(AX6:AX9)</f>
        <v>2464.6401000000001</v>
      </c>
      <c r="AY10" s="72">
        <f>SUM(AY6:AY9)</f>
        <v>7612.9812000000002</v>
      </c>
      <c r="AZ10" s="72">
        <f>SUM(AZ6:AZ9)</f>
        <v>4425.5303999999996</v>
      </c>
      <c r="BA10" s="62" t="s">
        <v>103</v>
      </c>
      <c r="BB10" s="62" t="s">
        <v>103</v>
      </c>
      <c r="BC10" s="62" t="s">
        <v>103</v>
      </c>
      <c r="BD10" s="62" t="s">
        <v>103</v>
      </c>
      <c r="BE10" s="70">
        <f>SUM(BE6:BE9)</f>
        <v>0.64033002536254102</v>
      </c>
      <c r="BF10" s="70">
        <f>SUM(BF6:BF9)</f>
        <v>0.48323104205732048</v>
      </c>
      <c r="BG10" s="70">
        <f>SUM(BG6:BG9)</f>
        <v>0.9195214992872569</v>
      </c>
      <c r="BI10" s="71"/>
      <c r="BJ10" s="71"/>
      <c r="BK10" s="71"/>
      <c r="BL10" s="71"/>
      <c r="BM10" s="71"/>
      <c r="BN10" s="71"/>
      <c r="BO10" s="71"/>
      <c r="BP10" s="71"/>
      <c r="BQ10" s="71"/>
      <c r="BR10" s="73">
        <f t="shared" ref="BR10:BX10" si="0">SUM(BR6:BR9)</f>
        <v>73.507499999999993</v>
      </c>
      <c r="BS10" s="73">
        <f t="shared" si="0"/>
        <v>97.495199999999997</v>
      </c>
      <c r="BT10" s="73">
        <f t="shared" si="0"/>
        <v>141.44760000000002</v>
      </c>
      <c r="BU10" s="72">
        <f t="shared" si="0"/>
        <v>5.3468999999999998</v>
      </c>
      <c r="BV10" s="72">
        <f t="shared" si="0"/>
        <v>2464.6401000000001</v>
      </c>
      <c r="BW10" s="72">
        <f t="shared" si="0"/>
        <v>7612.9812000000002</v>
      </c>
      <c r="BX10" s="72">
        <f t="shared" si="0"/>
        <v>4425.5303999999996</v>
      </c>
      <c r="BY10" s="74">
        <f>IF((BU11*BV11)=0,0,BR10/(BU11*BV11))</f>
        <v>0.64033002536254136</v>
      </c>
      <c r="BZ10" s="74">
        <f>IF((BU11*BW11)=0,0,BS10/(BU11*BW11))</f>
        <v>0.48323104205732087</v>
      </c>
      <c r="CA10" s="74">
        <f>IF((BU11*BX11)=0,0,BT10/(BU11*BX11))</f>
        <v>0.9195214992872569</v>
      </c>
      <c r="CC10" s="71"/>
      <c r="CD10" s="71"/>
      <c r="CE10" s="71"/>
      <c r="CF10" s="71"/>
      <c r="CG10" s="71"/>
      <c r="CH10" s="71"/>
      <c r="CI10" s="71"/>
      <c r="CJ10" s="71"/>
      <c r="CK10" s="71"/>
      <c r="CL10" s="72">
        <f>SUM(CL6:CL9)</f>
        <v>5.3468999999999998</v>
      </c>
      <c r="CM10" s="72">
        <f>SUM(CM6:CM9)</f>
        <v>2464.6401000000001</v>
      </c>
      <c r="CN10" s="72">
        <f>SUM(CN6:CN9)</f>
        <v>7612.9812000000002</v>
      </c>
      <c r="CO10" s="72">
        <f>SUM(CO6:CO9)</f>
        <v>4425.5303999999996</v>
      </c>
      <c r="CP10" s="62" t="s">
        <v>103</v>
      </c>
      <c r="CQ10" s="62" t="s">
        <v>103</v>
      </c>
      <c r="CR10" s="62" t="s">
        <v>103</v>
      </c>
      <c r="CS10" s="62" t="s">
        <v>103</v>
      </c>
      <c r="CT10" s="75">
        <f>SUM(CT6:CT9)</f>
        <v>0.64033002536254102</v>
      </c>
      <c r="CU10" s="75">
        <f>SUM(CU6:CU9)</f>
        <v>0.48323104205732048</v>
      </c>
      <c r="CV10" s="75">
        <f>SUM(CV6:CV9)</f>
        <v>0.9195214992872569</v>
      </c>
    </row>
    <row r="11" spans="1:100" ht="19.5" customHeight="1" x14ac:dyDescent="0.25">
      <c r="A11" s="76" t="s">
        <v>108</v>
      </c>
      <c r="B11" s="77" t="s">
        <v>103</v>
      </c>
      <c r="C11" s="77" t="s">
        <v>103</v>
      </c>
      <c r="D11" s="77" t="s">
        <v>103</v>
      </c>
      <c r="E11" s="77" t="s">
        <v>103</v>
      </c>
      <c r="F11" s="77" t="s">
        <v>103</v>
      </c>
      <c r="G11" s="77" t="s">
        <v>103</v>
      </c>
      <c r="H11" s="77" t="s">
        <v>103</v>
      </c>
      <c r="I11" s="77" t="s">
        <v>103</v>
      </c>
      <c r="J11" s="77" t="s">
        <v>103</v>
      </c>
      <c r="K11" s="77" t="s">
        <v>103</v>
      </c>
      <c r="L11" s="77" t="s">
        <v>103</v>
      </c>
      <c r="N11" s="77" t="s">
        <v>103</v>
      </c>
      <c r="O11" s="77" t="s">
        <v>103</v>
      </c>
      <c r="P11" s="77" t="s">
        <v>103</v>
      </c>
      <c r="Q11" s="77" t="s">
        <v>103</v>
      </c>
      <c r="R11" s="77" t="s">
        <v>103</v>
      </c>
      <c r="S11" s="77" t="s">
        <v>103</v>
      </c>
      <c r="T11" s="77" t="s">
        <v>103</v>
      </c>
      <c r="U11" s="77" t="s">
        <v>103</v>
      </c>
      <c r="V11" s="77" t="s">
        <v>103</v>
      </c>
      <c r="W11" s="77" t="s">
        <v>103</v>
      </c>
      <c r="X11" s="77" t="s">
        <v>103</v>
      </c>
      <c r="Y11" s="77" t="s">
        <v>103</v>
      </c>
      <c r="AA11" s="77" t="s">
        <v>103</v>
      </c>
      <c r="AB11" s="77" t="s">
        <v>103</v>
      </c>
      <c r="AC11" s="77" t="s">
        <v>103</v>
      </c>
      <c r="AD11" s="77" t="s">
        <v>103</v>
      </c>
      <c r="AE11" s="77" t="s">
        <v>103</v>
      </c>
      <c r="AF11" s="77" t="s">
        <v>103</v>
      </c>
      <c r="AG11" s="77" t="s">
        <v>103</v>
      </c>
      <c r="AH11" s="77" t="s">
        <v>103</v>
      </c>
      <c r="AI11" s="77" t="s">
        <v>103</v>
      </c>
      <c r="AJ11" s="77" t="s">
        <v>103</v>
      </c>
      <c r="AK11" s="77" t="s">
        <v>103</v>
      </c>
      <c r="AL11" s="77" t="s">
        <v>103</v>
      </c>
      <c r="AN11" s="62" t="s">
        <v>103</v>
      </c>
      <c r="AO11" s="62" t="s">
        <v>103</v>
      </c>
      <c r="AP11" s="62" t="s">
        <v>103</v>
      </c>
      <c r="AQ11" s="62" t="s">
        <v>103</v>
      </c>
      <c r="AR11" s="62" t="s">
        <v>103</v>
      </c>
      <c r="AS11" s="62" t="s">
        <v>103</v>
      </c>
      <c r="AT11" s="62" t="s">
        <v>103</v>
      </c>
      <c r="AU11" s="62" t="s">
        <v>103</v>
      </c>
      <c r="AV11" s="62" t="s">
        <v>103</v>
      </c>
      <c r="AW11" s="78">
        <f>SQRT(AW10)</f>
        <v>2.3123364807051763</v>
      </c>
      <c r="AX11" s="78">
        <f>SQRT(AX10)</f>
        <v>49.645141756268558</v>
      </c>
      <c r="AY11" s="78">
        <f>SQRT(AY10)</f>
        <v>87.25239939394217</v>
      </c>
      <c r="AZ11" s="78">
        <f>SQRT(AZ10)</f>
        <v>66.524660089323262</v>
      </c>
      <c r="BA11" s="62" t="s">
        <v>103</v>
      </c>
      <c r="BB11" s="62" t="s">
        <v>103</v>
      </c>
      <c r="BC11" s="62" t="s">
        <v>103</v>
      </c>
      <c r="BD11" s="62" t="s">
        <v>103</v>
      </c>
      <c r="BE11" s="62" t="s">
        <v>103</v>
      </c>
      <c r="BF11" s="62" t="s">
        <v>103</v>
      </c>
      <c r="BG11" s="62" t="s">
        <v>103</v>
      </c>
      <c r="BI11" s="62" t="s">
        <v>103</v>
      </c>
      <c r="BJ11" s="62" t="s">
        <v>103</v>
      </c>
      <c r="BK11" s="62" t="s">
        <v>103</v>
      </c>
      <c r="BL11" s="62" t="s">
        <v>103</v>
      </c>
      <c r="BM11" s="62" t="s">
        <v>103</v>
      </c>
      <c r="BN11" s="62" t="s">
        <v>103</v>
      </c>
      <c r="BO11" s="62" t="s">
        <v>103</v>
      </c>
      <c r="BP11" s="62" t="s">
        <v>103</v>
      </c>
      <c r="BQ11" s="62" t="s">
        <v>103</v>
      </c>
      <c r="BR11" s="62" t="s">
        <v>103</v>
      </c>
      <c r="BS11" s="62" t="s">
        <v>103</v>
      </c>
      <c r="BT11" s="62" t="s">
        <v>103</v>
      </c>
      <c r="BU11" s="78">
        <f>SQRT(BU10)</f>
        <v>2.3123364807051763</v>
      </c>
      <c r="BV11" s="78">
        <f>SQRT(BV10)</f>
        <v>49.645141756268558</v>
      </c>
      <c r="BW11" s="78">
        <f>SQRT(BW10)</f>
        <v>87.25239939394217</v>
      </c>
      <c r="BX11" s="78">
        <f>SQRT(BX10)</f>
        <v>66.524660089323262</v>
      </c>
      <c r="BY11" s="62" t="s">
        <v>103</v>
      </c>
      <c r="BZ11" s="62" t="s">
        <v>103</v>
      </c>
      <c r="CA11" s="62" t="s">
        <v>103</v>
      </c>
      <c r="CC11" s="62" t="s">
        <v>103</v>
      </c>
      <c r="CD11" s="62" t="s">
        <v>103</v>
      </c>
      <c r="CE11" s="62" t="s">
        <v>103</v>
      </c>
      <c r="CF11" s="62" t="s">
        <v>103</v>
      </c>
      <c r="CG11" s="62" t="s">
        <v>103</v>
      </c>
      <c r="CH11" s="62" t="s">
        <v>103</v>
      </c>
      <c r="CI11" s="62" t="s">
        <v>103</v>
      </c>
      <c r="CJ11" s="62" t="s">
        <v>103</v>
      </c>
      <c r="CK11" s="62" t="s">
        <v>103</v>
      </c>
      <c r="CL11" s="78">
        <f>SQRT(CL10)</f>
        <v>2.3123364807051763</v>
      </c>
      <c r="CM11" s="78">
        <f>SQRT(CM10)</f>
        <v>49.645141756268558</v>
      </c>
      <c r="CN11" s="78">
        <f>SQRT(CN10)</f>
        <v>87.25239939394217</v>
      </c>
      <c r="CO11" s="78">
        <f>SQRT(CO10)</f>
        <v>66.524660089323262</v>
      </c>
      <c r="CP11" s="62" t="s">
        <v>103</v>
      </c>
      <c r="CQ11" s="62" t="s">
        <v>103</v>
      </c>
      <c r="CR11" s="62" t="s">
        <v>103</v>
      </c>
      <c r="CS11" s="62" t="s">
        <v>103</v>
      </c>
      <c r="CT11" s="62" t="s">
        <v>103</v>
      </c>
      <c r="CU11" s="62" t="s">
        <v>103</v>
      </c>
      <c r="CV11" s="62" t="s">
        <v>103</v>
      </c>
    </row>
    <row r="12" spans="1:100" ht="19.5" customHeight="1" x14ac:dyDescent="0.25">
      <c r="A12" s="79" t="s">
        <v>109</v>
      </c>
      <c r="J12" s="80">
        <f>RANK(J10,J10:L10,0)</f>
        <v>3</v>
      </c>
      <c r="K12" s="80">
        <f>RANK(K10,J10:L10,0)</f>
        <v>2</v>
      </c>
      <c r="L12" s="80">
        <f>RANK(L10,J10:L10,0)</f>
        <v>1</v>
      </c>
      <c r="W12" s="80">
        <f>RANK(W10,W10:Y10,0)</f>
        <v>2</v>
      </c>
      <c r="X12" s="80">
        <f>RANK(X10,W10:Y10,0)</f>
        <v>3</v>
      </c>
      <c r="Y12" s="80">
        <f>RANK(Y10,W10:Y10,0)</f>
        <v>1</v>
      </c>
      <c r="AJ12" s="80">
        <f>RANK(AJ10,AJ10:AL10,0)</f>
        <v>3</v>
      </c>
      <c r="AK12" s="80">
        <f>RANK(AK10,AJ10:AL10,0)</f>
        <v>2</v>
      </c>
      <c r="AL12" s="80">
        <f>RANK(AL10,AJ10:AL10,0)</f>
        <v>1</v>
      </c>
      <c r="BE12" s="80">
        <f>RANK(BE10,BE10:BG10,0)</f>
        <v>2</v>
      </c>
      <c r="BF12" s="80">
        <f>RANK(BF10,BE10:BG10,0)</f>
        <v>3</v>
      </c>
      <c r="BG12" s="80">
        <f>RANK(BG10,BE10:BG10,0)</f>
        <v>1</v>
      </c>
      <c r="BY12" s="80">
        <f>RANK(BY10,BY10:CA10,0)</f>
        <v>2</v>
      </c>
      <c r="BZ12" s="80">
        <f>RANK(BZ10,BY10:CA10,0)</f>
        <v>3</v>
      </c>
      <c r="CA12" s="80">
        <f>RANK(CA10,BY10:CA10,0)</f>
        <v>1</v>
      </c>
      <c r="CT12" s="80">
        <f>RANK(CT10,CT10:CV10,0)</f>
        <v>2</v>
      </c>
      <c r="CU12" s="80">
        <f>RANK(CU10,CT10:CV10,0)</f>
        <v>3</v>
      </c>
      <c r="CV12" s="80">
        <f>RANK(CV10,CT10:CV10,0)</f>
        <v>1</v>
      </c>
    </row>
    <row r="13" spans="1:100" ht="21.75" customHeight="1" x14ac:dyDescent="0.25">
      <c r="A13" s="81" t="s">
        <v>9</v>
      </c>
      <c r="J13" s="87" t="s">
        <v>12</v>
      </c>
      <c r="K13" s="87"/>
      <c r="L13" s="87"/>
      <c r="W13" s="87" t="s">
        <v>15</v>
      </c>
      <c r="X13" s="87"/>
      <c r="Y13" s="87"/>
      <c r="AJ13" s="87" t="s">
        <v>12</v>
      </c>
      <c r="AK13" s="87"/>
      <c r="AL13" s="87"/>
      <c r="BE13" s="87" t="s">
        <v>15</v>
      </c>
      <c r="BF13" s="87"/>
      <c r="BG13" s="87"/>
      <c r="BY13" s="87" t="s">
        <v>15</v>
      </c>
      <c r="BZ13" s="87"/>
      <c r="CA13" s="87"/>
      <c r="CT13" s="87" t="s">
        <v>15</v>
      </c>
      <c r="CU13" s="87"/>
      <c r="CV13" s="87"/>
    </row>
  </sheetData>
  <mergeCells count="38">
    <mergeCell ref="CH4:CK4"/>
    <mergeCell ref="CL4:CO4"/>
    <mergeCell ref="CP4:CS4"/>
    <mergeCell ref="CT4:CU4"/>
    <mergeCell ref="J13:L13"/>
    <mergeCell ref="W13:Y13"/>
    <mergeCell ref="AJ13:AL13"/>
    <mergeCell ref="BE13:BG13"/>
    <mergeCell ref="BY13:CA13"/>
    <mergeCell ref="CT13:CV13"/>
    <mergeCell ref="BN4:BQ4"/>
    <mergeCell ref="BR4:BT4"/>
    <mergeCell ref="BU4:BX4"/>
    <mergeCell ref="BY4:CA4"/>
    <mergeCell ref="CC4:CF4"/>
    <mergeCell ref="CC3:CV3"/>
    <mergeCell ref="B4:E4"/>
    <mergeCell ref="G4:I4"/>
    <mergeCell ref="J4:L4"/>
    <mergeCell ref="N4:Q4"/>
    <mergeCell ref="T4:V4"/>
    <mergeCell ref="W4:Y4"/>
    <mergeCell ref="AA4:AD4"/>
    <mergeCell ref="AG4:AI4"/>
    <mergeCell ref="AJ4:AL4"/>
    <mergeCell ref="AN4:AQ4"/>
    <mergeCell ref="AS4:AV4"/>
    <mergeCell ref="AW4:AZ4"/>
    <mergeCell ref="BA4:BD4"/>
    <mergeCell ref="BE4:BG4"/>
    <mergeCell ref="BI4:BL4"/>
    <mergeCell ref="A1:BZ1"/>
    <mergeCell ref="A2:BZ2"/>
    <mergeCell ref="B3:L3"/>
    <mergeCell ref="N3:Y3"/>
    <mergeCell ref="AA3:AL3"/>
    <mergeCell ref="AN3:BG3"/>
    <mergeCell ref="BI3:CA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Tabel Lengkap (6 Metode)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LEONARDUS DALE MASAN</cp:lastModifiedBy>
  <cp:revision>0</cp:revision>
  <dcterms:created xsi:type="dcterms:W3CDTF">2026-03-11T16:21:16Z</dcterms:created>
  <dcterms:modified xsi:type="dcterms:W3CDTF">2026-03-12T00:31:53Z</dcterms:modified>
  <dc:language>en-US</dc:language>
</cp:coreProperties>
</file>