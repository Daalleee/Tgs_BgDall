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lleno\Dokumen\TUGAS SEMESTER 6\PI\"/>
    </mc:Choice>
  </mc:AlternateContent>
  <xr:revisionPtr revIDLastSave="0" documentId="13_ncr:1_{579EA76B-D90E-4DFE-88B1-0913CE1B1621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soal1" sheetId="1" r:id="rId1"/>
    <sheet name="Soal 2" sheetId="2" r:id="rId2"/>
    <sheet name="Soal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41" i="2" l="1"/>
  <c r="P41" i="2"/>
  <c r="O41" i="2"/>
  <c r="N41" i="2"/>
  <c r="K41" i="2"/>
  <c r="M41" i="2"/>
  <c r="L41" i="2"/>
  <c r="M12" i="2"/>
  <c r="J41" i="2"/>
  <c r="L12" i="2" s="1"/>
  <c r="N14" i="2"/>
  <c r="D49" i="3"/>
  <c r="N25" i="3"/>
  <c r="N20" i="3"/>
  <c r="N21" i="3"/>
  <c r="N22" i="3"/>
  <c r="N23" i="3"/>
  <c r="N24" i="3"/>
  <c r="K21" i="3"/>
  <c r="K20" i="3"/>
  <c r="J20" i="3"/>
  <c r="G20" i="3"/>
  <c r="F20" i="3"/>
  <c r="E20" i="3"/>
  <c r="D20" i="3"/>
  <c r="J21" i="3"/>
  <c r="H21" i="3"/>
  <c r="G21" i="3"/>
  <c r="F21" i="3"/>
  <c r="E21" i="3"/>
  <c r="D21" i="3"/>
  <c r="L10" i="2"/>
  <c r="O11" i="2"/>
  <c r="N11" i="2"/>
  <c r="M11" i="2"/>
  <c r="L11" i="2"/>
  <c r="O10" i="2"/>
  <c r="N10" i="2"/>
  <c r="M10" i="2"/>
  <c r="L35" i="2"/>
  <c r="M35" i="2"/>
  <c r="V28" i="2"/>
  <c r="V33" i="2"/>
  <c r="V34" i="2"/>
  <c r="L37" i="2"/>
  <c r="K37" i="2"/>
  <c r="J37" i="2"/>
  <c r="I37" i="2"/>
  <c r="AA34" i="2"/>
  <c r="Z34" i="2"/>
  <c r="Y34" i="2"/>
  <c r="X34" i="2"/>
  <c r="W34" i="2"/>
  <c r="M37" i="2" s="1"/>
  <c r="U34" i="2"/>
  <c r="T34" i="2"/>
  <c r="S34" i="2"/>
  <c r="C74" i="3" a="1"/>
  <c r="K50" i="3"/>
  <c r="J50" i="3"/>
  <c r="I50" i="3"/>
  <c r="H50" i="3"/>
  <c r="G50" i="3"/>
  <c r="F50" i="3"/>
  <c r="E50" i="3"/>
  <c r="D50" i="3"/>
  <c r="N49" i="3"/>
  <c r="K49" i="3"/>
  <c r="J49" i="3"/>
  <c r="I49" i="3"/>
  <c r="H49" i="3"/>
  <c r="G49" i="3"/>
  <c r="F49" i="3"/>
  <c r="E49" i="3"/>
  <c r="I21" i="3"/>
  <c r="D75" i="3" a="1"/>
  <c r="I20" i="3"/>
  <c r="H20" i="3"/>
  <c r="L40" i="2"/>
  <c r="K40" i="2"/>
  <c r="J40" i="2"/>
  <c r="H34" i="2"/>
  <c r="G34" i="2"/>
  <c r="F34" i="2"/>
  <c r="E34" i="2"/>
  <c r="D34" i="2"/>
  <c r="C34" i="2"/>
  <c r="B34" i="2"/>
  <c r="H33" i="2"/>
  <c r="H32" i="2"/>
  <c r="H31" i="2"/>
  <c r="H30" i="2"/>
  <c r="H29" i="2"/>
  <c r="H28" i="2"/>
  <c r="H27" i="2"/>
  <c r="H26" i="2"/>
  <c r="H25" i="2"/>
  <c r="M24" i="2"/>
  <c r="L24" i="2"/>
  <c r="K24" i="2"/>
  <c r="J24" i="2"/>
  <c r="I24" i="2"/>
  <c r="H24" i="2"/>
  <c r="H23" i="2"/>
  <c r="H22" i="2"/>
  <c r="H21" i="2"/>
  <c r="AC20" i="2"/>
  <c r="AB20" i="2"/>
  <c r="H20" i="2"/>
  <c r="N12" i="2" l="1"/>
  <c r="N13" i="2"/>
  <c r="Q32" i="2"/>
  <c r="Q31" i="2"/>
  <c r="Q33" i="2"/>
  <c r="C76" i="3"/>
  <c r="C85" i="3"/>
  <c r="C83" i="3"/>
  <c r="C84" i="3"/>
  <c r="C82" i="3"/>
  <c r="C74" i="3"/>
  <c r="C75" i="3"/>
  <c r="C78" i="3"/>
  <c r="C79" i="3"/>
  <c r="C80" i="3"/>
  <c r="C81" i="3"/>
  <c r="C77" i="3"/>
  <c r="N53" i="3"/>
  <c r="N51" i="3"/>
  <c r="N50" i="3"/>
  <c r="N52" i="3"/>
  <c r="N54" i="3"/>
  <c r="D76" i="3"/>
  <c r="D77" i="3"/>
  <c r="D78" i="3"/>
  <c r="D79" i="3"/>
  <c r="D80" i="3"/>
  <c r="D81" i="3"/>
  <c r="D82" i="3"/>
  <c r="D83" i="3"/>
  <c r="D84" i="3"/>
  <c r="D85" i="3"/>
  <c r="D75" i="3"/>
  <c r="J33" i="2"/>
  <c r="T33" i="2" s="1"/>
  <c r="L33" i="2"/>
  <c r="I33" i="2"/>
  <c r="K33" i="2"/>
  <c r="U33" i="2" s="1"/>
  <c r="M33" i="2"/>
  <c r="L32" i="2"/>
  <c r="V32" i="2" s="1"/>
  <c r="J32" i="2"/>
  <c r="T32" i="2" s="1"/>
  <c r="I32" i="2"/>
  <c r="M32" i="2"/>
  <c r="K32" i="2"/>
  <c r="U32" i="2" s="1"/>
  <c r="L31" i="2"/>
  <c r="V31" i="2" s="1"/>
  <c r="M31" i="2"/>
  <c r="I31" i="2"/>
  <c r="J31" i="2"/>
  <c r="T31" i="2" s="1"/>
  <c r="K31" i="2"/>
  <c r="U31" i="2" s="1"/>
  <c r="M30" i="2"/>
  <c r="I30" i="2"/>
  <c r="J30" i="2"/>
  <c r="K30" i="2"/>
  <c r="L30" i="2"/>
  <c r="M29" i="2"/>
  <c r="L29" i="2"/>
  <c r="J29" i="2"/>
  <c r="I29" i="2"/>
  <c r="K29" i="2"/>
  <c r="M28" i="2"/>
  <c r="L28" i="2"/>
  <c r="K28" i="2"/>
  <c r="J28" i="2"/>
  <c r="I28" i="2"/>
  <c r="I27" i="2"/>
  <c r="J27" i="2"/>
  <c r="K27" i="2"/>
  <c r="L27" i="2"/>
  <c r="M27" i="2"/>
  <c r="I26" i="2"/>
  <c r="J26" i="2"/>
  <c r="K26" i="2"/>
  <c r="L26" i="2"/>
  <c r="M26" i="2"/>
  <c r="I25" i="2"/>
  <c r="J25" i="2"/>
  <c r="K25" i="2"/>
  <c r="L25" i="2"/>
  <c r="M25" i="2"/>
  <c r="W24" i="2"/>
  <c r="V24" i="2"/>
  <c r="U24" i="2"/>
  <c r="T24" i="2"/>
  <c r="S24" i="2"/>
  <c r="Y24" i="2"/>
  <c r="X24" i="2"/>
  <c r="Z24" i="2"/>
  <c r="AA24" i="2"/>
  <c r="L23" i="2"/>
  <c r="K23" i="2"/>
  <c r="J23" i="2"/>
  <c r="I23" i="2"/>
  <c r="M23" i="2"/>
  <c r="M22" i="2"/>
  <c r="K22" i="2"/>
  <c r="J22" i="2"/>
  <c r="I22" i="2"/>
  <c r="L22" i="2"/>
  <c r="M21" i="2"/>
  <c r="L21" i="2"/>
  <c r="K21" i="2"/>
  <c r="J21" i="2"/>
  <c r="I21" i="2"/>
  <c r="L20" i="2"/>
  <c r="V20" i="2" s="1"/>
  <c r="K20" i="2"/>
  <c r="U20" i="2" s="1"/>
  <c r="I20" i="2"/>
  <c r="M20" i="2"/>
  <c r="J20" i="2"/>
  <c r="T20" i="2" s="1"/>
  <c r="X33" i="2" l="1"/>
  <c r="Z33" i="2"/>
  <c r="S33" i="2"/>
  <c r="Y33" i="2"/>
  <c r="AA33" i="2"/>
  <c r="W33" i="2"/>
  <c r="S32" i="2"/>
  <c r="Y32" i="2"/>
  <c r="AA32" i="2"/>
  <c r="X32" i="2"/>
  <c r="Z32" i="2"/>
  <c r="W32" i="2"/>
  <c r="W31" i="2"/>
  <c r="S31" i="2"/>
  <c r="Y31" i="2"/>
  <c r="X31" i="2"/>
  <c r="Z31" i="2"/>
  <c r="AA31" i="2"/>
  <c r="W30" i="2"/>
  <c r="S30" i="2"/>
  <c r="X30" i="2"/>
  <c r="Y30" i="2"/>
  <c r="Z30" i="2"/>
  <c r="AA30" i="2"/>
  <c r="T30" i="2"/>
  <c r="U30" i="2"/>
  <c r="V30" i="2"/>
  <c r="W29" i="2"/>
  <c r="V29" i="2"/>
  <c r="T29" i="2"/>
  <c r="S29" i="2"/>
  <c r="X29" i="2"/>
  <c r="Y29" i="2"/>
  <c r="Z29" i="2"/>
  <c r="AA29" i="2"/>
  <c r="U29" i="2"/>
  <c r="W28" i="2"/>
  <c r="U28" i="2"/>
  <c r="T28" i="2"/>
  <c r="S28" i="2"/>
  <c r="X28" i="2"/>
  <c r="Y28" i="2"/>
  <c r="Z28" i="2"/>
  <c r="AA28" i="2"/>
  <c r="S27" i="2"/>
  <c r="X27" i="2"/>
  <c r="Y27" i="2"/>
  <c r="Z27" i="2"/>
  <c r="AA27" i="2"/>
  <c r="T27" i="2"/>
  <c r="P27" i="2"/>
  <c r="U27" i="2"/>
  <c r="Q27" i="2"/>
  <c r="V27" i="2"/>
  <c r="W27" i="2"/>
  <c r="S26" i="2"/>
  <c r="X26" i="2"/>
  <c r="Y26" i="2"/>
  <c r="Z26" i="2"/>
  <c r="AA26" i="2"/>
  <c r="O26" i="2"/>
  <c r="T26" i="2"/>
  <c r="P26" i="2"/>
  <c r="U26" i="2"/>
  <c r="Q26" i="2"/>
  <c r="V26" i="2"/>
  <c r="W26" i="2"/>
  <c r="S25" i="2"/>
  <c r="X25" i="2"/>
  <c r="Y25" i="2"/>
  <c r="Z25" i="2"/>
  <c r="AA25" i="2"/>
  <c r="T25" i="2"/>
  <c r="J39" i="2"/>
  <c r="U25" i="2"/>
  <c r="K39" i="2"/>
  <c r="V25" i="2"/>
  <c r="L39" i="2"/>
  <c r="W25" i="2"/>
  <c r="V23" i="2"/>
  <c r="U23" i="2"/>
  <c r="T23" i="2"/>
  <c r="S23" i="2"/>
  <c r="X23" i="2"/>
  <c r="Y23" i="2"/>
  <c r="Z23" i="2"/>
  <c r="AA23" i="2"/>
  <c r="W23" i="2"/>
  <c r="W22" i="2"/>
  <c r="U22" i="2"/>
  <c r="T22" i="2"/>
  <c r="S22" i="2"/>
  <c r="X22" i="2"/>
  <c r="Y22" i="2"/>
  <c r="Z22" i="2"/>
  <c r="AA22" i="2"/>
  <c r="V22" i="2"/>
  <c r="W21" i="2"/>
  <c r="V21" i="2"/>
  <c r="L34" i="2"/>
  <c r="U21" i="2"/>
  <c r="K34" i="2"/>
  <c r="T21" i="2"/>
  <c r="J34" i="2"/>
  <c r="O27" i="2" s="1"/>
  <c r="S21" i="2"/>
  <c r="X21" i="2"/>
  <c r="Y21" i="2"/>
  <c r="Z21" i="2"/>
  <c r="AA21" i="2"/>
  <c r="I34" i="2"/>
  <c r="S20" i="2"/>
  <c r="X20" i="2"/>
  <c r="Y20" i="2"/>
  <c r="Z20" i="2"/>
  <c r="O15" i="2" s="1"/>
  <c r="AA20" i="2"/>
  <c r="W20" i="2"/>
  <c r="M34" i="2"/>
  <c r="E75" i="3" a="1"/>
  <c r="O12" i="2" l="1"/>
  <c r="O13" i="2"/>
  <c r="E85" i="3"/>
  <c r="E75" i="3"/>
  <c r="E84" i="3"/>
  <c r="E83" i="3"/>
  <c r="E82" i="3"/>
  <c r="E81" i="3"/>
  <c r="E79" i="3"/>
  <c r="E78" i="3"/>
  <c r="E77" i="3"/>
  <c r="E76" i="3"/>
  <c r="E80" i="3"/>
  <c r="L15" i="2"/>
  <c r="M15" i="2"/>
  <c r="N15" i="2"/>
  <c r="N27" i="2"/>
  <c r="N26" i="2"/>
  <c r="R25" i="2" l="1"/>
  <c r="R27" i="2"/>
  <c r="AE27" i="2" s="1"/>
  <c r="R28" i="2"/>
  <c r="R29" i="2"/>
  <c r="R30" i="2"/>
  <c r="R31" i="2"/>
  <c r="R32" i="2"/>
  <c r="R33" i="2"/>
  <c r="R20" i="2"/>
  <c r="R34" i="2" s="1"/>
  <c r="R21" i="2"/>
  <c r="R22" i="2"/>
  <c r="R23" i="2"/>
  <c r="R26" i="2"/>
  <c r="AE26" i="2" s="1"/>
  <c r="R24" i="2"/>
  <c r="K35" i="2"/>
  <c r="J35" i="2"/>
  <c r="I35" i="2"/>
  <c r="AD27" i="2"/>
  <c r="AC27" i="2"/>
  <c r="AB27" i="2"/>
  <c r="AD26" i="2"/>
  <c r="AC26" i="2"/>
  <c r="AB26" i="2"/>
  <c r="P32" i="2" l="1"/>
  <c r="P33" i="2"/>
  <c r="P31" i="2"/>
  <c r="O33" i="2"/>
  <c r="O32" i="2"/>
  <c r="O31" i="2"/>
  <c r="O30" i="2"/>
  <c r="N32" i="2"/>
  <c r="N31" i="2"/>
  <c r="N30" i="2"/>
  <c r="N33" i="2"/>
  <c r="N29" i="2"/>
  <c r="AE20" i="2"/>
  <c r="Q25" i="2"/>
  <c r="Q28" i="2"/>
  <c r="Q29" i="2"/>
  <c r="Q30" i="2"/>
  <c r="Q21" i="2"/>
  <c r="Q22" i="2"/>
  <c r="Q23" i="2"/>
  <c r="Q24" i="2"/>
  <c r="M13" i="2"/>
  <c r="P25" i="2"/>
  <c r="P28" i="2"/>
  <c r="P30" i="2"/>
  <c r="P21" i="2"/>
  <c r="P34" i="2" s="1"/>
  <c r="P22" i="2"/>
  <c r="P23" i="2"/>
  <c r="P29" i="2"/>
  <c r="P24" i="2"/>
  <c r="L13" i="2"/>
  <c r="O28" i="2"/>
  <c r="O29" i="2"/>
  <c r="O21" i="2"/>
  <c r="O34" i="2" s="1"/>
  <c r="O22" i="2"/>
  <c r="O23" i="2"/>
  <c r="O25" i="2"/>
  <c r="O24" i="2"/>
  <c r="N25" i="2"/>
  <c r="N28" i="2"/>
  <c r="N21" i="2"/>
  <c r="N22" i="2"/>
  <c r="N23" i="2"/>
  <c r="N24" i="2"/>
  <c r="AD29" i="2" l="1"/>
  <c r="Q34" i="2"/>
  <c r="AE32" i="2"/>
  <c r="AD32" i="2"/>
  <c r="AC32" i="2"/>
  <c r="AB32" i="2"/>
  <c r="AE31" i="2"/>
  <c r="AD31" i="2"/>
  <c r="AB31" i="2"/>
  <c r="AC31" i="2"/>
  <c r="AB30" i="2"/>
  <c r="AD30" i="2"/>
  <c r="AE33" i="2"/>
  <c r="AD33" i="2"/>
  <c r="AC33" i="2"/>
  <c r="AB33" i="2"/>
  <c r="AE25" i="2"/>
  <c r="AD25" i="2"/>
  <c r="AC25" i="2"/>
  <c r="AB25" i="2"/>
  <c r="AE28" i="2"/>
  <c r="AD28" i="2"/>
  <c r="AC28" i="2"/>
  <c r="AB28" i="2"/>
  <c r="AE29" i="2"/>
  <c r="AC29" i="2"/>
  <c r="AB29" i="2"/>
  <c r="AE30" i="2"/>
  <c r="AC30" i="2"/>
  <c r="N34" i="2"/>
  <c r="AE21" i="2"/>
  <c r="AD21" i="2"/>
  <c r="AC21" i="2"/>
  <c r="AB21" i="2"/>
  <c r="AE22" i="2"/>
  <c r="AD22" i="2"/>
  <c r="AC22" i="2"/>
  <c r="AB22" i="2"/>
  <c r="AE23" i="2"/>
  <c r="AD23" i="2"/>
  <c r="AC23" i="2"/>
  <c r="AB23" i="2"/>
  <c r="AE24" i="2"/>
  <c r="AD24" i="2"/>
  <c r="AC24" i="2"/>
  <c r="AB24" i="2"/>
  <c r="AE37" i="2" l="1"/>
  <c r="AE34" i="2"/>
  <c r="AD37" i="2"/>
  <c r="AD34" i="2"/>
  <c r="AC37" i="2"/>
  <c r="M14" i="2" s="1"/>
  <c r="AC34" i="2"/>
  <c r="AB34" i="2"/>
  <c r="AB37" i="2"/>
  <c r="L14" i="2" s="1"/>
  <c r="O14" i="2"/>
</calcChain>
</file>

<file path=xl/sharedStrings.xml><?xml version="1.0" encoding="utf-8"?>
<sst xmlns="http://schemas.openxmlformats.org/spreadsheetml/2006/main" count="117" uniqueCount="68">
  <si>
    <t xml:space="preserve">No. </t>
  </si>
  <si>
    <t>Kelebihan</t>
  </si>
  <si>
    <t>Kekurangan</t>
  </si>
  <si>
    <t>D1</t>
  </si>
  <si>
    <t>John give a book to Mary</t>
  </si>
  <si>
    <t>D2</t>
  </si>
  <si>
    <t>John who read a book love Mary</t>
  </si>
  <si>
    <t>D3</t>
  </si>
  <si>
    <t>who does John think Mary love?</t>
  </si>
  <si>
    <t>D4</t>
  </si>
  <si>
    <t>John thinks a love book is a good gift</t>
  </si>
  <si>
    <t>Q</t>
  </si>
  <si>
    <t>John love book</t>
  </si>
  <si>
    <t>Jawaban</t>
  </si>
  <si>
    <t>urtukan hasil retrival berdasarkan</t>
  </si>
  <si>
    <t>a. Query tidak berbobot</t>
  </si>
  <si>
    <t>b. Query berbobot oleh (john:3, love:1, book:2)</t>
  </si>
  <si>
    <t>c. Query berbobot tf-idf</t>
  </si>
  <si>
    <t>d. Query berbobot td-idf ternormalisasi</t>
  </si>
  <si>
    <t>e. Query berbobot td-idf dengan cosinus similaryty</t>
  </si>
  <si>
    <t>f. Query berbobot tf-idf similaryty</t>
  </si>
  <si>
    <t>W= TF * IDF</t>
  </si>
  <si>
    <t>Normalisasi</t>
  </si>
  <si>
    <t>W^2</t>
  </si>
  <si>
    <t>inner</t>
  </si>
  <si>
    <t>inner normalisasi</t>
  </si>
  <si>
    <t>Term</t>
  </si>
  <si>
    <t>TF</t>
  </si>
  <si>
    <t>IDF</t>
  </si>
  <si>
    <t>Q.D1</t>
  </si>
  <si>
    <t>Q.D2</t>
  </si>
  <si>
    <t>Q.D4</t>
  </si>
  <si>
    <t>Q.D3</t>
  </si>
  <si>
    <t>a</t>
  </si>
  <si>
    <t>book</t>
  </si>
  <si>
    <t>does</t>
  </si>
  <si>
    <t>gift</t>
  </si>
  <si>
    <t>give</t>
  </si>
  <si>
    <t>good</t>
  </si>
  <si>
    <t>is</t>
  </si>
  <si>
    <t>john</t>
  </si>
  <si>
    <t>love</t>
  </si>
  <si>
    <t>mary</t>
  </si>
  <si>
    <t>read</t>
  </si>
  <si>
    <t>think</t>
  </si>
  <si>
    <t>to</t>
  </si>
  <si>
    <t>who</t>
  </si>
  <si>
    <t>sum</t>
  </si>
  <si>
    <t>panjang</t>
  </si>
  <si>
    <t>sistem 1</t>
  </si>
  <si>
    <t>RNRNNRNN</t>
  </si>
  <si>
    <t>sisteem 2</t>
  </si>
  <si>
    <t>NRNNNRRR</t>
  </si>
  <si>
    <t xml:space="preserve">hitung precesion dan recall </t>
  </si>
  <si>
    <t>buatlah precesion yang di interpolasi pada 11 titik standar recall. Menggunakan gradik interpolasi tersebut manakah yang lebih baik</t>
  </si>
  <si>
    <t xml:space="preserve">relevant= 8 </t>
  </si>
  <si>
    <t>Sistem 1</t>
  </si>
  <si>
    <t xml:space="preserve">retrivet= 8 </t>
  </si>
  <si>
    <t>R</t>
  </si>
  <si>
    <t>N</t>
  </si>
  <si>
    <t>Recall</t>
  </si>
  <si>
    <t>Precision</t>
  </si>
  <si>
    <t>recall</t>
  </si>
  <si>
    <t>precis</t>
  </si>
  <si>
    <t>Sistem 2</t>
  </si>
  <si>
    <t>Sistem 1 lebih baik dibanding sistem 2</t>
  </si>
  <si>
    <t>Precesion 1</t>
  </si>
  <si>
    <t>precesion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</si>
</sst>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00"/>
  </numFmts>
  <fonts count="14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name val="Arial"/>
      <family val="2"/>
    </font>
    <font>
      <b/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sz val="11"/>
      <color rgb="FF1F1F1F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2"/>
      <charset val="1"/>
    </font>
    <font>
      <sz val="14"/>
      <color theme="1"/>
      <name val="Calibri"/>
      <family val="2"/>
      <charset val="1"/>
    </font>
    <font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59987182226020086"/>
        <bgColor rgb="FF9999FF"/>
      </patternFill>
    </fill>
    <fill>
      <patternFill patternType="solid">
        <fgColor theme="0"/>
        <bgColor rgb="FFFFFFCC"/>
      </patternFill>
    </fill>
    <fill>
      <patternFill patternType="solid">
        <fgColor rgb="FFE49EDD"/>
        <bgColor rgb="FFCC99FF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1" xfId="0" applyFill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8" fillId="2" borderId="0" xfId="0" applyFont="1" applyFill="1" applyAlignment="1">
      <alignment horizontal="center"/>
    </xf>
    <xf numFmtId="10" fontId="9" fillId="4" borderId="1" xfId="1" applyNumberFormat="1" applyFont="1" applyFill="1" applyBorder="1" applyAlignment="1">
      <alignment horizontal="center" vertical="center"/>
    </xf>
    <xf numFmtId="10" fontId="10" fillId="4" borderId="1" xfId="1" applyNumberFormat="1" applyFont="1" applyFill="1" applyBorder="1"/>
    <xf numFmtId="10" fontId="11" fillId="0" borderId="1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 vertical="center"/>
    </xf>
    <xf numFmtId="10" fontId="11" fillId="0" borderId="1" xfId="1" applyNumberFormat="1" applyFont="1" applyBorder="1" applyAlignment="1">
      <alignment horizontal="center" vertical="center"/>
    </xf>
    <xf numFmtId="166" fontId="0" fillId="0" borderId="0" xfId="0" applyNumberFormat="1"/>
    <xf numFmtId="0" fontId="8" fillId="2" borderId="0" xfId="0" applyFont="1" applyFill="1"/>
    <xf numFmtId="0" fontId="0" fillId="3" borderId="1" xfId="0" applyFill="1" applyBorder="1"/>
    <xf numFmtId="0" fontId="12" fillId="5" borderId="1" xfId="0" applyFont="1" applyFill="1" applyBorder="1"/>
    <xf numFmtId="0" fontId="8" fillId="5" borderId="1" xfId="0" applyFont="1" applyFill="1" applyBorder="1"/>
    <xf numFmtId="0" fontId="0" fillId="5" borderId="1" xfId="0" applyFill="1" applyBorder="1"/>
    <xf numFmtId="10" fontId="0" fillId="2" borderId="1" xfId="0" applyNumberForma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3D69B"/>
      <rgbColor rgb="FFFFFF99"/>
      <rgbColor rgb="FF8EB4E3"/>
      <rgbColor rgb="FFE49EDD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id-ID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id-ID" sz="1400" b="0" strike="noStrike" spc="-1">
                <a:solidFill>
                  <a:srgbClr val="595959"/>
                </a:solidFill>
                <a:latin typeface="Calibri"/>
              </a:rPr>
              <a:t>Interpolasi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'Soal 3'!$N$19</c:f>
              <c:strCache>
                <c:ptCount val="1"/>
                <c:pt idx="0">
                  <c:v>Precision</c:v>
                </c:pt>
              </c:strCache>
            </c:strRef>
          </c:tx>
          <c:spPr>
            <a:ln w="1908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'Soal 3'!$M$20:$M$30</c:f>
              <c:numCache>
                <c:formatCode>0.00%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'Soal 3'!$N$20:$N$30</c:f>
              <c:numCache>
                <c:formatCode>0.00%</c:formatCode>
                <c:ptCount val="11"/>
                <c:pt idx="0">
                  <c:v>0.5714285714285714</c:v>
                </c:pt>
                <c:pt idx="1">
                  <c:v>0.5714285714285714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0.5714285714285714</c:v>
                </c:pt>
                <c:pt idx="5">
                  <c:v>0.5714285714285714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7-40F8-9BA3-53DCFF025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7468"/>
        <c:axId val="66654518"/>
      </c:scatterChart>
      <c:valAx>
        <c:axId val="534274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66654518"/>
        <c:crosses val="autoZero"/>
        <c:crossBetween val="midCat"/>
      </c:valAx>
      <c:valAx>
        <c:axId val="6665451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534274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id-ID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id-ID" sz="1400" b="0" strike="noStrike" spc="-1">
                <a:solidFill>
                  <a:srgbClr val="595959"/>
                </a:solidFill>
                <a:latin typeface="Calibri"/>
              </a:rPr>
              <a:t>Interpolasi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'Soal 3'!$N$48</c:f>
              <c:strCache>
                <c:ptCount val="1"/>
                <c:pt idx="0">
                  <c:v>Precision</c:v>
                </c:pt>
              </c:strCache>
            </c:strRef>
          </c:tx>
          <c:spPr>
            <a:ln w="19080" cap="rnd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'Soal 3'!$M$49:$M$59</c:f>
              <c:numCache>
                <c:formatCode>0.00%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'Soal 3'!$N$49:$N$59</c:f>
              <c:numCache>
                <c:formatCode>0.00%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7-4BC9-8A2E-F69DD955C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93085"/>
        <c:axId val="51857711"/>
      </c:scatterChart>
      <c:valAx>
        <c:axId val="5649308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51857711"/>
        <c:crosses val="autoZero"/>
        <c:crossBetween val="midCat"/>
      </c:valAx>
      <c:valAx>
        <c:axId val="5185771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564930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id-ID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id-ID" sz="1400" b="0" strike="noStrike" spc="-1">
                <a:solidFill>
                  <a:srgbClr val="595959"/>
                </a:solidFill>
                <a:latin typeface="Calibri"/>
              </a:rPr>
              <a:t>Perbandingan Precesion 1 &amp;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'Soal 3'!$D$74</c:f>
              <c:strCache>
                <c:ptCount val="1"/>
                <c:pt idx="0">
                  <c:v>Precesion 1</c:v>
                </c:pt>
              </c:strCache>
            </c:strRef>
          </c:tx>
          <c:spPr>
            <a:ln w="28440" cap="rnd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'Soal 3'!$C$75:$C$85</c:f>
              <c:numCache>
                <c:formatCode>0.00%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'Soal 3'!$D$75:$D$85</c:f>
              <c:numCache>
                <c:formatCode>0.00%</c:formatCode>
                <c:ptCount val="11"/>
                <c:pt idx="0">
                  <c:v>0.5714285714285714</c:v>
                </c:pt>
                <c:pt idx="1">
                  <c:v>0.5714285714285714</c:v>
                </c:pt>
                <c:pt idx="2">
                  <c:v>0.5714285714285714</c:v>
                </c:pt>
                <c:pt idx="3">
                  <c:v>0.5714285714285714</c:v>
                </c:pt>
                <c:pt idx="4">
                  <c:v>0.5714285714285714</c:v>
                </c:pt>
                <c:pt idx="5">
                  <c:v>0.5714285714285714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1-4E05-A9ED-707E42CD18F7}"/>
            </c:ext>
          </c:extLst>
        </c:ser>
        <c:ser>
          <c:idx val="1"/>
          <c:order val="1"/>
          <c:tx>
            <c:strRef>
              <c:f>'Soal 3'!$E$74</c:f>
              <c:strCache>
                <c:ptCount val="1"/>
                <c:pt idx="0">
                  <c:v>precesion 2</c:v>
                </c:pt>
              </c:strCache>
            </c:strRef>
          </c:tx>
          <c:spPr>
            <a:ln w="28440" cap="rnd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d-ID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'Soal 3'!$C$75:$C$85</c:f>
              <c:numCache>
                <c:formatCode>0.00%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'Soal 3'!$E$75:$E$85</c:f>
              <c:numCache>
                <c:formatCode>0.00%</c:formatCode>
                <c:ptCount val="1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1-4E05-A9ED-707E42CD1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278341"/>
        <c:axId val="10207259"/>
      </c:lineChart>
      <c:catAx>
        <c:axId val="13278341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10207259"/>
        <c:crosses val="autoZero"/>
        <c:auto val="1"/>
        <c:lblAlgn val="ctr"/>
        <c:lblOffset val="100"/>
        <c:noMultiLvlLbl val="0"/>
      </c:catAx>
      <c:valAx>
        <c:axId val="10207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d-ID"/>
          </a:p>
        </c:txPr>
        <c:crossAx val="132783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id-ID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571680</xdr:colOff>
      <xdr:row>23</xdr:row>
      <xdr:rowOff>19080</xdr:rowOff>
    </xdr:from>
    <xdr:to>
      <xdr:col>9</xdr:col>
      <xdr:colOff>561960</xdr:colOff>
      <xdr:row>37</xdr:row>
      <xdr:rowOff>28080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23760</xdr:colOff>
      <xdr:row>52</xdr:row>
      <xdr:rowOff>85680</xdr:rowOff>
    </xdr:from>
    <xdr:to>
      <xdr:col>9</xdr:col>
      <xdr:colOff>680760</xdr:colOff>
      <xdr:row>66</xdr:row>
      <xdr:rowOff>94680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428760</xdr:colOff>
      <xdr:row>72</xdr:row>
      <xdr:rowOff>162000</xdr:rowOff>
    </xdr:from>
    <xdr:to>
      <xdr:col>12</xdr:col>
      <xdr:colOff>152280</xdr:colOff>
      <xdr:row>87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G9"/>
  <sheetViews>
    <sheetView zoomScaleNormal="100" workbookViewId="0">
      <selection activeCell="F12" sqref="F12"/>
    </sheetView>
  </sheetViews>
  <sheetFormatPr defaultColWidth="8.7109375" defaultRowHeight="15" x14ac:dyDescent="0.25"/>
  <cols>
    <col min="5" max="5" width="5.140625" customWidth="1"/>
    <col min="6" max="6" width="34.42578125" customWidth="1"/>
    <col min="7" max="7" width="27.7109375" customWidth="1"/>
  </cols>
  <sheetData>
    <row r="6" spans="5:7" x14ac:dyDescent="0.25">
      <c r="E6" s="1" t="s">
        <v>0</v>
      </c>
      <c r="F6" s="1" t="s">
        <v>1</v>
      </c>
      <c r="G6" s="1" t="s">
        <v>2</v>
      </c>
    </row>
    <row r="7" spans="5:7" x14ac:dyDescent="0.25">
      <c r="E7" s="1"/>
      <c r="F7" s="1"/>
      <c r="G7" s="1"/>
    </row>
    <row r="8" spans="5:7" x14ac:dyDescent="0.25">
      <c r="E8" s="1"/>
      <c r="F8" s="1"/>
      <c r="G8" s="1"/>
    </row>
    <row r="9" spans="5:7" x14ac:dyDescent="0.25">
      <c r="E9" s="1"/>
      <c r="F9" s="1"/>
      <c r="G9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41"/>
  <sheetViews>
    <sheetView tabSelected="1" topLeftCell="A27" zoomScaleNormal="100" workbookViewId="0">
      <selection activeCell="O38" sqref="O38"/>
    </sheetView>
  </sheetViews>
  <sheetFormatPr defaultColWidth="8.7109375" defaultRowHeight="15" x14ac:dyDescent="0.25"/>
  <cols>
    <col min="1" max="1" width="10" customWidth="1"/>
    <col min="2" max="7" width="5" customWidth="1"/>
    <col min="8" max="30" width="10" customWidth="1"/>
  </cols>
  <sheetData>
    <row r="2" spans="5:15" x14ac:dyDescent="0.25">
      <c r="E2" s="2" t="s">
        <v>3</v>
      </c>
      <c r="F2" s="2"/>
      <c r="G2" s="2" t="s">
        <v>4</v>
      </c>
      <c r="H2" s="2"/>
      <c r="I2" s="2"/>
      <c r="J2" s="2"/>
    </row>
    <row r="3" spans="5:15" x14ac:dyDescent="0.25">
      <c r="E3" s="2" t="s">
        <v>5</v>
      </c>
      <c r="F3" s="2"/>
      <c r="G3" s="2" t="s">
        <v>6</v>
      </c>
      <c r="H3" s="2"/>
      <c r="I3" s="2"/>
      <c r="J3" s="2"/>
    </row>
    <row r="4" spans="5:15" x14ac:dyDescent="0.25">
      <c r="E4" s="2" t="s">
        <v>7</v>
      </c>
      <c r="F4" s="2"/>
      <c r="G4" s="2" t="s">
        <v>8</v>
      </c>
      <c r="H4" s="2"/>
      <c r="I4" s="2"/>
      <c r="J4" s="2"/>
    </row>
    <row r="5" spans="5:15" x14ac:dyDescent="0.25">
      <c r="E5" s="2" t="s">
        <v>9</v>
      </c>
      <c r="F5" s="2"/>
      <c r="G5" s="2" t="s">
        <v>10</v>
      </c>
      <c r="H5" s="2"/>
      <c r="I5" s="2"/>
      <c r="J5" s="2"/>
    </row>
    <row r="6" spans="5:15" ht="15.75" customHeight="1" x14ac:dyDescent="0.25">
      <c r="E6" s="2" t="s">
        <v>11</v>
      </c>
      <c r="F6" s="2"/>
      <c r="G6" s="2" t="s">
        <v>12</v>
      </c>
      <c r="H6" s="2"/>
      <c r="I6" s="2"/>
      <c r="J6" s="2"/>
      <c r="N6" s="3" t="s">
        <v>13</v>
      </c>
    </row>
    <row r="8" spans="5:15" x14ac:dyDescent="0.25">
      <c r="L8" s="4" t="s">
        <v>3</v>
      </c>
      <c r="M8" s="4" t="s">
        <v>5</v>
      </c>
      <c r="N8" s="4" t="s">
        <v>7</v>
      </c>
      <c r="O8" s="4" t="s">
        <v>9</v>
      </c>
    </row>
    <row r="9" spans="5:15" x14ac:dyDescent="0.25">
      <c r="E9" t="s">
        <v>14</v>
      </c>
      <c r="L9" s="1"/>
      <c r="M9" s="1"/>
      <c r="N9" s="1"/>
      <c r="O9" s="1"/>
    </row>
    <row r="10" spans="5:15" x14ac:dyDescent="0.25">
      <c r="E10" t="s">
        <v>15</v>
      </c>
      <c r="L10" s="1">
        <f>IF(C21&gt;0,1,0)+IF(C27&gt;0,1,0)+IF(C28&gt;0,1,0)</f>
        <v>2</v>
      </c>
      <c r="M10" s="1">
        <f>IF(D21&gt;0,1,0)+IF(D27&gt;0,1,0)+IF(D28&gt;0,1,0)</f>
        <v>3</v>
      </c>
      <c r="N10" s="1">
        <f>IF(E21&gt;0,1,0)+IF(E27&gt;0,1,0)+IF(E28&gt;0,1,0)</f>
        <v>2</v>
      </c>
      <c r="O10" s="1">
        <f>IF(F21&gt;0,1,0)+IF(F27&gt;0,1,0)+IF(F28&gt;0,1,0)</f>
        <v>3</v>
      </c>
    </row>
    <row r="11" spans="5:15" x14ac:dyDescent="0.25">
      <c r="E11" t="s">
        <v>16</v>
      </c>
      <c r="L11" s="1">
        <f>C27*3+C28*1+C21*2</f>
        <v>5</v>
      </c>
      <c r="M11" s="1">
        <f>D27*3+D28*1+D21*2</f>
        <v>6</v>
      </c>
      <c r="N11" s="1">
        <f>E27*3+E28*1+E21*2</f>
        <v>4</v>
      </c>
      <c r="O11" s="1">
        <f>F27*3+F28*1+F21*2</f>
        <v>6</v>
      </c>
    </row>
    <row r="12" spans="5:15" x14ac:dyDescent="0.25">
      <c r="E12" t="s">
        <v>17</v>
      </c>
      <c r="L12" s="1">
        <f>J41</f>
        <v>0.12493873660829993</v>
      </c>
      <c r="M12" s="1">
        <f>K41</f>
        <v>0.24987747321659987</v>
      </c>
      <c r="N12" s="1">
        <f>L41</f>
        <v>0.12493873660829993</v>
      </c>
      <c r="O12" s="1">
        <f>M41</f>
        <v>0.24987747321659987</v>
      </c>
    </row>
    <row r="13" spans="5:15" x14ac:dyDescent="0.25">
      <c r="E13" t="s">
        <v>18</v>
      </c>
      <c r="L13" s="1">
        <f>N41</f>
        <v>0.14221647813153021</v>
      </c>
      <c r="M13" s="1">
        <f>O41</f>
        <v>0.34801537504931435</v>
      </c>
      <c r="N13" s="1">
        <f>P41</f>
        <v>0.16477382276277411</v>
      </c>
      <c r="O13" s="1">
        <f>Q41</f>
        <v>0.22158163627884983</v>
      </c>
    </row>
    <row r="14" spans="5:15" x14ac:dyDescent="0.25">
      <c r="E14" t="s">
        <v>19</v>
      </c>
      <c r="L14" s="5">
        <f>AB37</f>
        <v>0.10056223608327336</v>
      </c>
      <c r="M14" s="5">
        <f>AC37</f>
        <v>0.24608403165454981</v>
      </c>
      <c r="N14" s="5">
        <f>AD37</f>
        <v>0.11651268743758789</v>
      </c>
      <c r="O14" s="1">
        <f>AE37</f>
        <v>0.15668187759918584</v>
      </c>
    </row>
    <row r="15" spans="5:15" x14ac:dyDescent="0.25">
      <c r="E15" t="s">
        <v>20</v>
      </c>
      <c r="L15" s="5">
        <f>X34</f>
        <v>1.5609687905278146E-2</v>
      </c>
      <c r="M15" s="5">
        <f>Y34</f>
        <v>3.1219375810556293E-2</v>
      </c>
      <c r="N15" s="5">
        <f>AA34</f>
        <v>1.5609687905278146E-2</v>
      </c>
      <c r="O15" s="1">
        <f>Z34</f>
        <v>3.1219375810556293E-2</v>
      </c>
    </row>
    <row r="18" spans="1:31" x14ac:dyDescent="0.25">
      <c r="J18" t="s">
        <v>21</v>
      </c>
      <c r="O18" t="s">
        <v>22</v>
      </c>
      <c r="T18" t="s">
        <v>23</v>
      </c>
      <c r="Y18" t="s">
        <v>24</v>
      </c>
      <c r="AC18" t="s">
        <v>25</v>
      </c>
    </row>
    <row r="19" spans="1:31" ht="16.5" customHeight="1" x14ac:dyDescent="0.25">
      <c r="A19" s="6" t="s">
        <v>26</v>
      </c>
      <c r="B19" s="6" t="s">
        <v>11</v>
      </c>
      <c r="C19" s="6" t="s">
        <v>3</v>
      </c>
      <c r="D19" s="6" t="s">
        <v>5</v>
      </c>
      <c r="E19" s="6" t="s">
        <v>7</v>
      </c>
      <c r="F19" s="7" t="s">
        <v>9</v>
      </c>
      <c r="G19" s="6" t="s">
        <v>27</v>
      </c>
      <c r="H19" s="6" t="s">
        <v>28</v>
      </c>
      <c r="I19" s="6" t="s">
        <v>11</v>
      </c>
      <c r="J19" s="6" t="s">
        <v>3</v>
      </c>
      <c r="K19" s="6" t="s">
        <v>5</v>
      </c>
      <c r="L19" s="6" t="s">
        <v>7</v>
      </c>
      <c r="M19" s="7" t="s">
        <v>9</v>
      </c>
      <c r="N19" s="6" t="s">
        <v>11</v>
      </c>
      <c r="O19" s="6" t="s">
        <v>3</v>
      </c>
      <c r="P19" s="6" t="s">
        <v>5</v>
      </c>
      <c r="Q19" s="6" t="s">
        <v>7</v>
      </c>
      <c r="R19" s="7" t="s">
        <v>9</v>
      </c>
      <c r="S19" s="6" t="s">
        <v>11</v>
      </c>
      <c r="T19" s="6" t="s">
        <v>3</v>
      </c>
      <c r="U19" s="6" t="s">
        <v>5</v>
      </c>
      <c r="V19" s="6" t="s">
        <v>7</v>
      </c>
      <c r="W19" s="7" t="s">
        <v>9</v>
      </c>
      <c r="X19" s="6" t="s">
        <v>29</v>
      </c>
      <c r="Y19" s="6" t="s">
        <v>30</v>
      </c>
      <c r="Z19" s="6" t="s">
        <v>31</v>
      </c>
      <c r="AA19" s="6" t="s">
        <v>32</v>
      </c>
      <c r="AB19" s="6" t="s">
        <v>29</v>
      </c>
      <c r="AC19" s="6" t="s">
        <v>30</v>
      </c>
      <c r="AD19" s="6" t="s">
        <v>32</v>
      </c>
      <c r="AE19" s="8" t="s">
        <v>31</v>
      </c>
    </row>
    <row r="20" spans="1:31" ht="16.5" customHeight="1" x14ac:dyDescent="0.25">
      <c r="A20" s="9" t="s">
        <v>33</v>
      </c>
      <c r="B20" s="10">
        <v>0</v>
      </c>
      <c r="C20" s="10">
        <v>1</v>
      </c>
      <c r="D20" s="10">
        <v>1</v>
      </c>
      <c r="E20" s="11">
        <v>0</v>
      </c>
      <c r="F20" s="11">
        <v>2</v>
      </c>
      <c r="G20" s="10">
        <v>3</v>
      </c>
      <c r="H20" s="10">
        <f t="shared" ref="H20:H33" si="0">LOG10(4/G20)</f>
        <v>0.12493873660829993</v>
      </c>
      <c r="I20" s="10">
        <f t="shared" ref="I20:I33" si="1">B20*H20</f>
        <v>0</v>
      </c>
      <c r="J20" s="10">
        <f t="shared" ref="J20:J33" si="2">C20*H20</f>
        <v>0.12493873660829993</v>
      </c>
      <c r="K20" s="10">
        <f t="shared" ref="K20:K33" si="3">D20*H20</f>
        <v>0.12493873660829993</v>
      </c>
      <c r="L20" s="10">
        <f t="shared" ref="L20:L33" si="4">E20*H20</f>
        <v>0</v>
      </c>
      <c r="M20" s="10">
        <f t="shared" ref="M20:M33" si="5">F20*H20</f>
        <v>0.24987747321659987</v>
      </c>
      <c r="N20" s="10">
        <v>0</v>
      </c>
      <c r="O20" s="10">
        <v>0</v>
      </c>
      <c r="P20" s="10">
        <v>0</v>
      </c>
      <c r="Q20" s="10">
        <v>0</v>
      </c>
      <c r="R20" s="10">
        <f>M20/M37</f>
        <v>0.22158163627884983</v>
      </c>
      <c r="S20" s="10">
        <f t="shared" ref="S20:S33" si="6">I20*I20</f>
        <v>0</v>
      </c>
      <c r="T20" s="10">
        <f t="shared" ref="T20:T33" si="7">J20*J20</f>
        <v>1.5609687905278146E-2</v>
      </c>
      <c r="U20" s="10">
        <f t="shared" ref="U20:U33" si="8">K20*K20</f>
        <v>1.5609687905278146E-2</v>
      </c>
      <c r="V20" s="10">
        <f t="shared" ref="V20:V32" si="9">L20*L20</f>
        <v>0</v>
      </c>
      <c r="W20" s="10">
        <f t="shared" ref="W20:W33" si="10">M20*M20</f>
        <v>6.2438751621112586E-2</v>
      </c>
      <c r="X20" s="10">
        <f t="shared" ref="X20:X33" si="11">I20*J20</f>
        <v>0</v>
      </c>
      <c r="Y20" s="10">
        <f t="shared" ref="Y20:Y33" si="12">I20*K20</f>
        <v>0</v>
      </c>
      <c r="Z20" s="10">
        <f t="shared" ref="Z20:Z33" si="13">I20*M20</f>
        <v>0</v>
      </c>
      <c r="AA20" s="10">
        <f t="shared" ref="AA20:AA33" si="14">I20*L20</f>
        <v>0</v>
      </c>
      <c r="AB20" s="10">
        <f t="shared" ref="AB20:AB29" si="15">N20*O20</f>
        <v>0</v>
      </c>
      <c r="AC20" s="10">
        <f t="shared" ref="AC20:AC30" si="16">N20*P20</f>
        <v>0</v>
      </c>
      <c r="AD20" s="10">
        <v>0</v>
      </c>
      <c r="AE20" s="12">
        <f t="shared" ref="AE20:AE33" si="17">N20*R20</f>
        <v>0</v>
      </c>
    </row>
    <row r="21" spans="1:31" x14ac:dyDescent="0.25">
      <c r="A21" s="13" t="s">
        <v>34</v>
      </c>
      <c r="B21" s="14">
        <v>1</v>
      </c>
      <c r="C21" s="14">
        <v>1</v>
      </c>
      <c r="D21" s="14">
        <v>1</v>
      </c>
      <c r="E21" s="14">
        <v>0</v>
      </c>
      <c r="F21" s="14">
        <v>1</v>
      </c>
      <c r="G21" s="14">
        <v>3</v>
      </c>
      <c r="H21" s="10">
        <f t="shared" si="0"/>
        <v>0.12493873660829993</v>
      </c>
      <c r="I21" s="14">
        <f t="shared" si="1"/>
        <v>0.12493873660829993</v>
      </c>
      <c r="J21" s="14">
        <f t="shared" si="2"/>
        <v>0.12493873660829993</v>
      </c>
      <c r="K21" s="14">
        <f t="shared" si="3"/>
        <v>0.12493873660829993</v>
      </c>
      <c r="L21" s="14">
        <f t="shared" si="4"/>
        <v>0</v>
      </c>
      <c r="M21" s="14">
        <f t="shared" si="5"/>
        <v>0.12493873660829993</v>
      </c>
      <c r="N21" s="14">
        <f>I21/I37</f>
        <v>0.70710678118654757</v>
      </c>
      <c r="O21" s="14">
        <f>J21/J37</f>
        <v>0.14221647813153021</v>
      </c>
      <c r="P21" s="14">
        <f>K21/K37</f>
        <v>0.17400768752465717</v>
      </c>
      <c r="Q21" s="14">
        <f>L21/L37</f>
        <v>0</v>
      </c>
      <c r="R21" s="14">
        <f>M21/M37</f>
        <v>0.11079081813942492</v>
      </c>
      <c r="S21" s="14">
        <f t="shared" si="6"/>
        <v>1.5609687905278146E-2</v>
      </c>
      <c r="T21" s="14">
        <f t="shared" si="7"/>
        <v>1.5609687905278146E-2</v>
      </c>
      <c r="U21" s="14">
        <f t="shared" si="8"/>
        <v>1.5609687905278146E-2</v>
      </c>
      <c r="V21" s="14">
        <f t="shared" si="9"/>
        <v>0</v>
      </c>
      <c r="W21" s="14">
        <f t="shared" si="10"/>
        <v>1.5609687905278146E-2</v>
      </c>
      <c r="X21" s="14">
        <f t="shared" si="11"/>
        <v>1.5609687905278146E-2</v>
      </c>
      <c r="Y21" s="14">
        <f t="shared" si="12"/>
        <v>1.5609687905278146E-2</v>
      </c>
      <c r="Z21" s="14">
        <f t="shared" si="13"/>
        <v>1.5609687905278146E-2</v>
      </c>
      <c r="AA21" s="14">
        <f t="shared" si="14"/>
        <v>0</v>
      </c>
      <c r="AB21" s="14">
        <f t="shared" si="15"/>
        <v>0.10056223608327336</v>
      </c>
      <c r="AC21" s="14">
        <f t="shared" si="16"/>
        <v>0.12304201582727491</v>
      </c>
      <c r="AD21" s="14">
        <f t="shared" ref="AD21:AD28" si="18">N21*Q21</f>
        <v>0</v>
      </c>
      <c r="AE21" s="12">
        <f t="shared" si="17"/>
        <v>7.8340938799592919E-2</v>
      </c>
    </row>
    <row r="22" spans="1:31" x14ac:dyDescent="0.25">
      <c r="A22" s="15" t="s">
        <v>35</v>
      </c>
      <c r="B22" s="14">
        <v>0</v>
      </c>
      <c r="C22" s="14">
        <v>0</v>
      </c>
      <c r="D22" s="14">
        <v>0</v>
      </c>
      <c r="E22" s="14">
        <v>1</v>
      </c>
      <c r="F22" s="14">
        <v>0</v>
      </c>
      <c r="G22" s="14">
        <v>1</v>
      </c>
      <c r="H22" s="10">
        <f t="shared" si="0"/>
        <v>0.6020599913279624</v>
      </c>
      <c r="I22" s="14">
        <f t="shared" si="1"/>
        <v>0</v>
      </c>
      <c r="J22" s="14">
        <f t="shared" si="2"/>
        <v>0</v>
      </c>
      <c r="K22" s="14">
        <f t="shared" si="3"/>
        <v>0</v>
      </c>
      <c r="L22" s="14">
        <f t="shared" si="4"/>
        <v>0.6020599913279624</v>
      </c>
      <c r="M22" s="14">
        <f t="shared" si="5"/>
        <v>0</v>
      </c>
      <c r="N22" s="14">
        <f>I22/I37</f>
        <v>0</v>
      </c>
      <c r="O22" s="14">
        <f>J22/J37</f>
        <v>0</v>
      </c>
      <c r="P22" s="14">
        <f>K22/K37</f>
        <v>0</v>
      </c>
      <c r="Q22" s="14">
        <f>L22/L37</f>
        <v>0.79401896478790457</v>
      </c>
      <c r="R22" s="14">
        <f>M22/M37</f>
        <v>0</v>
      </c>
      <c r="S22" s="14">
        <f t="shared" si="6"/>
        <v>0</v>
      </c>
      <c r="T22" s="14">
        <f t="shared" si="7"/>
        <v>0</v>
      </c>
      <c r="U22" s="14">
        <f t="shared" si="8"/>
        <v>0</v>
      </c>
      <c r="V22" s="14">
        <f t="shared" si="9"/>
        <v>0.36247623315782618</v>
      </c>
      <c r="W22" s="14">
        <f t="shared" si="10"/>
        <v>0</v>
      </c>
      <c r="X22" s="14">
        <f t="shared" si="11"/>
        <v>0</v>
      </c>
      <c r="Y22" s="14">
        <f t="shared" si="12"/>
        <v>0</v>
      </c>
      <c r="Z22" s="14">
        <f t="shared" si="13"/>
        <v>0</v>
      </c>
      <c r="AA22" s="14">
        <f t="shared" si="14"/>
        <v>0</v>
      </c>
      <c r="AB22" s="14">
        <f t="shared" si="15"/>
        <v>0</v>
      </c>
      <c r="AC22" s="14">
        <f t="shared" si="16"/>
        <v>0</v>
      </c>
      <c r="AD22" s="14">
        <f t="shared" si="18"/>
        <v>0</v>
      </c>
      <c r="AE22" s="12">
        <f t="shared" si="17"/>
        <v>0</v>
      </c>
    </row>
    <row r="23" spans="1:31" x14ac:dyDescent="0.25">
      <c r="A23" s="15" t="s">
        <v>36</v>
      </c>
      <c r="B23" s="14">
        <v>0</v>
      </c>
      <c r="C23" s="14">
        <v>0</v>
      </c>
      <c r="D23" s="14">
        <v>0</v>
      </c>
      <c r="E23" s="14">
        <v>0</v>
      </c>
      <c r="F23" s="14">
        <v>1</v>
      </c>
      <c r="G23" s="14">
        <v>1</v>
      </c>
      <c r="H23" s="10">
        <f t="shared" si="0"/>
        <v>0.6020599913279624</v>
      </c>
      <c r="I23" s="14">
        <f t="shared" si="1"/>
        <v>0</v>
      </c>
      <c r="J23" s="14">
        <f t="shared" si="2"/>
        <v>0</v>
      </c>
      <c r="K23" s="14">
        <f t="shared" si="3"/>
        <v>0</v>
      </c>
      <c r="L23" s="14">
        <f t="shared" si="4"/>
        <v>0</v>
      </c>
      <c r="M23" s="14">
        <f t="shared" si="5"/>
        <v>0.6020599913279624</v>
      </c>
      <c r="N23" s="14">
        <f>I23/I37</f>
        <v>0</v>
      </c>
      <c r="O23" s="14">
        <f>J23/J37</f>
        <v>0</v>
      </c>
      <c r="P23" s="14">
        <f>K23/K37</f>
        <v>0</v>
      </c>
      <c r="Q23" s="14">
        <f>L23/L37</f>
        <v>0</v>
      </c>
      <c r="R23" s="14">
        <f>M23/M37</f>
        <v>0.53388341213471835</v>
      </c>
      <c r="S23" s="14">
        <f t="shared" si="6"/>
        <v>0</v>
      </c>
      <c r="T23" s="14">
        <f t="shared" si="7"/>
        <v>0</v>
      </c>
      <c r="U23" s="14">
        <f t="shared" si="8"/>
        <v>0</v>
      </c>
      <c r="V23" s="14">
        <f t="shared" si="9"/>
        <v>0</v>
      </c>
      <c r="W23" s="14">
        <f t="shared" si="10"/>
        <v>0.36247623315782618</v>
      </c>
      <c r="X23" s="14">
        <f t="shared" si="11"/>
        <v>0</v>
      </c>
      <c r="Y23" s="14">
        <f t="shared" si="12"/>
        <v>0</v>
      </c>
      <c r="Z23" s="14">
        <f t="shared" si="13"/>
        <v>0</v>
      </c>
      <c r="AA23" s="14">
        <f t="shared" si="14"/>
        <v>0</v>
      </c>
      <c r="AB23" s="14">
        <f t="shared" si="15"/>
        <v>0</v>
      </c>
      <c r="AC23" s="14">
        <f t="shared" si="16"/>
        <v>0</v>
      </c>
      <c r="AD23" s="14">
        <f t="shared" si="18"/>
        <v>0</v>
      </c>
      <c r="AE23" s="12">
        <f t="shared" si="17"/>
        <v>0</v>
      </c>
    </row>
    <row r="24" spans="1:31" x14ac:dyDescent="0.25">
      <c r="A24" s="15" t="s">
        <v>37</v>
      </c>
      <c r="B24" s="14">
        <v>0</v>
      </c>
      <c r="C24" s="14">
        <v>1</v>
      </c>
      <c r="D24" s="14">
        <v>0</v>
      </c>
      <c r="E24" s="14">
        <v>0</v>
      </c>
      <c r="F24" s="14">
        <v>0</v>
      </c>
      <c r="G24" s="14">
        <v>1</v>
      </c>
      <c r="H24" s="10">
        <f t="shared" si="0"/>
        <v>0.6020599913279624</v>
      </c>
      <c r="I24" s="14">
        <f t="shared" si="1"/>
        <v>0</v>
      </c>
      <c r="J24" s="14">
        <f t="shared" si="2"/>
        <v>0.6020599913279624</v>
      </c>
      <c r="K24" s="14">
        <f t="shared" si="3"/>
        <v>0</v>
      </c>
      <c r="L24" s="14">
        <f t="shared" si="4"/>
        <v>0</v>
      </c>
      <c r="M24" s="14">
        <f t="shared" si="5"/>
        <v>0</v>
      </c>
      <c r="N24" s="14">
        <f>I24/I37</f>
        <v>0</v>
      </c>
      <c r="O24" s="14">
        <f>J24/J37</f>
        <v>0.68531869230438769</v>
      </c>
      <c r="P24" s="14">
        <f>K24/K37</f>
        <v>0</v>
      </c>
      <c r="Q24" s="14">
        <f>L24/L37</f>
        <v>0</v>
      </c>
      <c r="R24" s="14">
        <f>M24/M37</f>
        <v>0</v>
      </c>
      <c r="S24" s="14">
        <f t="shared" si="6"/>
        <v>0</v>
      </c>
      <c r="T24" s="14">
        <f t="shared" si="7"/>
        <v>0.36247623315782618</v>
      </c>
      <c r="U24" s="14">
        <f t="shared" si="8"/>
        <v>0</v>
      </c>
      <c r="V24" s="14">
        <f t="shared" si="9"/>
        <v>0</v>
      </c>
      <c r="W24" s="14">
        <f t="shared" si="10"/>
        <v>0</v>
      </c>
      <c r="X24" s="14">
        <f t="shared" si="11"/>
        <v>0</v>
      </c>
      <c r="Y24" s="14">
        <f t="shared" si="12"/>
        <v>0</v>
      </c>
      <c r="Z24" s="14">
        <f t="shared" si="13"/>
        <v>0</v>
      </c>
      <c r="AA24" s="14">
        <f t="shared" si="14"/>
        <v>0</v>
      </c>
      <c r="AB24" s="14">
        <f t="shared" si="15"/>
        <v>0</v>
      </c>
      <c r="AC24" s="14">
        <f t="shared" si="16"/>
        <v>0</v>
      </c>
      <c r="AD24" s="14">
        <f t="shared" si="18"/>
        <v>0</v>
      </c>
      <c r="AE24" s="12">
        <f t="shared" si="17"/>
        <v>0</v>
      </c>
    </row>
    <row r="25" spans="1:31" x14ac:dyDescent="0.25">
      <c r="A25" s="16" t="s">
        <v>38</v>
      </c>
      <c r="B25" s="14">
        <v>0</v>
      </c>
      <c r="C25" s="14">
        <v>0</v>
      </c>
      <c r="D25" s="14">
        <v>0</v>
      </c>
      <c r="E25" s="14">
        <v>0</v>
      </c>
      <c r="F25" s="14">
        <v>1</v>
      </c>
      <c r="G25" s="14">
        <v>1</v>
      </c>
      <c r="H25" s="10">
        <f t="shared" si="0"/>
        <v>0.6020599913279624</v>
      </c>
      <c r="I25" s="14">
        <f t="shared" si="1"/>
        <v>0</v>
      </c>
      <c r="J25" s="14">
        <f t="shared" si="2"/>
        <v>0</v>
      </c>
      <c r="K25" s="14">
        <f t="shared" si="3"/>
        <v>0</v>
      </c>
      <c r="L25" s="14">
        <f t="shared" si="4"/>
        <v>0</v>
      </c>
      <c r="M25" s="14">
        <f t="shared" si="5"/>
        <v>0.6020599913279624</v>
      </c>
      <c r="N25" s="14">
        <f>I25/I37</f>
        <v>0</v>
      </c>
      <c r="O25" s="14">
        <f>J25/J37</f>
        <v>0</v>
      </c>
      <c r="P25" s="14">
        <f>K25/K37</f>
        <v>0</v>
      </c>
      <c r="Q25" s="14">
        <f>L25/L37</f>
        <v>0</v>
      </c>
      <c r="R25" s="14">
        <f>M25/M37</f>
        <v>0.53388341213471835</v>
      </c>
      <c r="S25" s="14">
        <f t="shared" si="6"/>
        <v>0</v>
      </c>
      <c r="T25" s="14">
        <f t="shared" si="7"/>
        <v>0</v>
      </c>
      <c r="U25" s="14">
        <f t="shared" si="8"/>
        <v>0</v>
      </c>
      <c r="V25" s="14">
        <f t="shared" si="9"/>
        <v>0</v>
      </c>
      <c r="W25" s="14">
        <f t="shared" si="10"/>
        <v>0.36247623315782618</v>
      </c>
      <c r="X25" s="14">
        <f t="shared" si="11"/>
        <v>0</v>
      </c>
      <c r="Y25" s="14">
        <f t="shared" si="12"/>
        <v>0</v>
      </c>
      <c r="Z25" s="14">
        <f t="shared" si="13"/>
        <v>0</v>
      </c>
      <c r="AA25" s="14">
        <f t="shared" si="14"/>
        <v>0</v>
      </c>
      <c r="AB25" s="14">
        <f t="shared" si="15"/>
        <v>0</v>
      </c>
      <c r="AC25" s="14">
        <f t="shared" si="16"/>
        <v>0</v>
      </c>
      <c r="AD25" s="14">
        <f t="shared" si="18"/>
        <v>0</v>
      </c>
      <c r="AE25" s="12">
        <f t="shared" si="17"/>
        <v>0</v>
      </c>
    </row>
    <row r="26" spans="1:31" x14ac:dyDescent="0.25">
      <c r="A26" s="9" t="s">
        <v>39</v>
      </c>
      <c r="B26" s="10">
        <v>0</v>
      </c>
      <c r="C26" s="10">
        <v>0</v>
      </c>
      <c r="D26" s="10">
        <v>0</v>
      </c>
      <c r="E26" s="11">
        <v>0</v>
      </c>
      <c r="F26" s="11">
        <v>1</v>
      </c>
      <c r="G26" s="10">
        <v>1</v>
      </c>
      <c r="H26" s="10">
        <f t="shared" si="0"/>
        <v>0.6020599913279624</v>
      </c>
      <c r="I26" s="10">
        <f t="shared" si="1"/>
        <v>0</v>
      </c>
      <c r="J26" s="10">
        <f t="shared" si="2"/>
        <v>0</v>
      </c>
      <c r="K26" s="10">
        <f t="shared" si="3"/>
        <v>0</v>
      </c>
      <c r="L26" s="10">
        <f t="shared" si="4"/>
        <v>0</v>
      </c>
      <c r="M26" s="10">
        <f t="shared" si="5"/>
        <v>0.6020599913279624</v>
      </c>
      <c r="N26" s="10">
        <f>I26/I34</f>
        <v>0</v>
      </c>
      <c r="O26" s="10">
        <f>J26/J34</f>
        <v>0</v>
      </c>
      <c r="P26" s="10">
        <f>K26/K34</f>
        <v>0</v>
      </c>
      <c r="Q26" s="10">
        <f>L26/L34</f>
        <v>0</v>
      </c>
      <c r="R26" s="10">
        <f>M26/M37</f>
        <v>0.53388341213471835</v>
      </c>
      <c r="S26" s="10">
        <f t="shared" si="6"/>
        <v>0</v>
      </c>
      <c r="T26" s="10">
        <f t="shared" si="7"/>
        <v>0</v>
      </c>
      <c r="U26" s="10">
        <f t="shared" si="8"/>
        <v>0</v>
      </c>
      <c r="V26" s="10">
        <f t="shared" si="9"/>
        <v>0</v>
      </c>
      <c r="W26" s="10">
        <f t="shared" si="10"/>
        <v>0.36247623315782618</v>
      </c>
      <c r="X26" s="10">
        <f t="shared" si="11"/>
        <v>0</v>
      </c>
      <c r="Y26" s="10">
        <f t="shared" si="12"/>
        <v>0</v>
      </c>
      <c r="Z26" s="10">
        <f t="shared" si="13"/>
        <v>0</v>
      </c>
      <c r="AA26" s="10">
        <f t="shared" si="14"/>
        <v>0</v>
      </c>
      <c r="AB26" s="10">
        <f t="shared" si="15"/>
        <v>0</v>
      </c>
      <c r="AC26" s="10">
        <f t="shared" si="16"/>
        <v>0</v>
      </c>
      <c r="AD26" s="10">
        <f t="shared" si="18"/>
        <v>0</v>
      </c>
      <c r="AE26" s="12">
        <f t="shared" si="17"/>
        <v>0</v>
      </c>
    </row>
    <row r="27" spans="1:31" x14ac:dyDescent="0.25">
      <c r="A27" s="17" t="s">
        <v>40</v>
      </c>
      <c r="B27" s="10">
        <v>1</v>
      </c>
      <c r="C27" s="10">
        <v>1</v>
      </c>
      <c r="D27" s="10">
        <v>1</v>
      </c>
      <c r="E27" s="11">
        <v>1</v>
      </c>
      <c r="F27" s="11">
        <v>1</v>
      </c>
      <c r="G27" s="10">
        <v>4</v>
      </c>
      <c r="H27" s="10">
        <f t="shared" si="0"/>
        <v>0</v>
      </c>
      <c r="I27" s="10">
        <f t="shared" si="1"/>
        <v>0</v>
      </c>
      <c r="J27" s="10">
        <f t="shared" si="2"/>
        <v>0</v>
      </c>
      <c r="K27" s="10">
        <f t="shared" si="3"/>
        <v>0</v>
      </c>
      <c r="L27" s="10">
        <f t="shared" si="4"/>
        <v>0</v>
      </c>
      <c r="M27" s="10">
        <f t="shared" si="5"/>
        <v>0</v>
      </c>
      <c r="N27" s="10">
        <f>I27/I34</f>
        <v>0</v>
      </c>
      <c r="O27" s="10">
        <f>J27/J34</f>
        <v>0</v>
      </c>
      <c r="P27" s="10">
        <f>K27/K34</f>
        <v>0</v>
      </c>
      <c r="Q27" s="10">
        <f>L27/L34</f>
        <v>0</v>
      </c>
      <c r="R27" s="10">
        <f>M27/M37</f>
        <v>0</v>
      </c>
      <c r="S27" s="10">
        <f t="shared" si="6"/>
        <v>0</v>
      </c>
      <c r="T27" s="10">
        <f t="shared" si="7"/>
        <v>0</v>
      </c>
      <c r="U27" s="10">
        <f t="shared" si="8"/>
        <v>0</v>
      </c>
      <c r="V27" s="10">
        <f t="shared" si="9"/>
        <v>0</v>
      </c>
      <c r="W27" s="10">
        <f t="shared" si="10"/>
        <v>0</v>
      </c>
      <c r="X27" s="10">
        <f t="shared" si="11"/>
        <v>0</v>
      </c>
      <c r="Y27" s="10">
        <f t="shared" si="12"/>
        <v>0</v>
      </c>
      <c r="Z27" s="10">
        <f t="shared" si="13"/>
        <v>0</v>
      </c>
      <c r="AA27" s="10">
        <f t="shared" si="14"/>
        <v>0</v>
      </c>
      <c r="AB27" s="10">
        <f t="shared" si="15"/>
        <v>0</v>
      </c>
      <c r="AC27" s="10">
        <f t="shared" si="16"/>
        <v>0</v>
      </c>
      <c r="AD27" s="10">
        <f t="shared" si="18"/>
        <v>0</v>
      </c>
      <c r="AE27" s="12">
        <f t="shared" si="17"/>
        <v>0</v>
      </c>
    </row>
    <row r="28" spans="1:31" x14ac:dyDescent="0.25">
      <c r="A28" s="13" t="s">
        <v>41</v>
      </c>
      <c r="B28" s="14">
        <v>1</v>
      </c>
      <c r="C28" s="14">
        <v>0</v>
      </c>
      <c r="D28" s="14">
        <v>1</v>
      </c>
      <c r="E28" s="14">
        <v>1</v>
      </c>
      <c r="F28" s="14">
        <v>1</v>
      </c>
      <c r="G28" s="14">
        <v>3</v>
      </c>
      <c r="H28" s="10">
        <f t="shared" si="0"/>
        <v>0.12493873660829993</v>
      </c>
      <c r="I28" s="14">
        <f t="shared" si="1"/>
        <v>0.12493873660829993</v>
      </c>
      <c r="J28" s="14">
        <f t="shared" si="2"/>
        <v>0</v>
      </c>
      <c r="K28" s="14">
        <f t="shared" si="3"/>
        <v>0.12493873660829993</v>
      </c>
      <c r="L28" s="14">
        <f t="shared" si="4"/>
        <v>0.12493873660829993</v>
      </c>
      <c r="M28" s="14">
        <f t="shared" si="5"/>
        <v>0.12493873660829993</v>
      </c>
      <c r="N28" s="14">
        <f>I28/I37</f>
        <v>0.70710678118654757</v>
      </c>
      <c r="O28" s="14">
        <f>J28/J37</f>
        <v>0</v>
      </c>
      <c r="P28" s="14">
        <f>K28/K37</f>
        <v>0.17400768752465717</v>
      </c>
      <c r="Q28" s="14">
        <f>L28/L37</f>
        <v>0.16477382276277411</v>
      </c>
      <c r="R28" s="14">
        <f>M28/M37</f>
        <v>0.11079081813942492</v>
      </c>
      <c r="S28" s="14">
        <f t="shared" si="6"/>
        <v>1.5609687905278146E-2</v>
      </c>
      <c r="T28" s="14">
        <f t="shared" si="7"/>
        <v>0</v>
      </c>
      <c r="U28" s="14">
        <f t="shared" si="8"/>
        <v>1.5609687905278146E-2</v>
      </c>
      <c r="V28" s="14">
        <f>L28*L28</f>
        <v>1.5609687905278146E-2</v>
      </c>
      <c r="W28" s="14">
        <f t="shared" si="10"/>
        <v>1.5609687905278146E-2</v>
      </c>
      <c r="X28" s="14">
        <f t="shared" si="11"/>
        <v>0</v>
      </c>
      <c r="Y28" s="14">
        <f t="shared" si="12"/>
        <v>1.5609687905278146E-2</v>
      </c>
      <c r="Z28" s="14">
        <f t="shared" si="13"/>
        <v>1.5609687905278146E-2</v>
      </c>
      <c r="AA28" s="14">
        <f t="shared" si="14"/>
        <v>1.5609687905278146E-2</v>
      </c>
      <c r="AB28" s="14">
        <f t="shared" si="15"/>
        <v>0</v>
      </c>
      <c r="AC28" s="14">
        <f t="shared" si="16"/>
        <v>0.12304201582727491</v>
      </c>
      <c r="AD28" s="14">
        <f t="shared" si="18"/>
        <v>0.11651268743758789</v>
      </c>
      <c r="AE28" s="12">
        <f t="shared" si="17"/>
        <v>7.8340938799592919E-2</v>
      </c>
    </row>
    <row r="29" spans="1:31" x14ac:dyDescent="0.25">
      <c r="A29" s="15" t="s">
        <v>42</v>
      </c>
      <c r="B29" s="14">
        <v>0</v>
      </c>
      <c r="C29" s="14">
        <v>1</v>
      </c>
      <c r="D29" s="14">
        <v>1</v>
      </c>
      <c r="E29" s="14">
        <v>1</v>
      </c>
      <c r="F29" s="14">
        <v>0</v>
      </c>
      <c r="G29" s="14">
        <v>3</v>
      </c>
      <c r="H29" s="10">
        <f t="shared" si="0"/>
        <v>0.12493873660829993</v>
      </c>
      <c r="I29" s="14">
        <f t="shared" si="1"/>
        <v>0</v>
      </c>
      <c r="J29" s="14">
        <f t="shared" si="2"/>
        <v>0.12493873660829993</v>
      </c>
      <c r="K29" s="14">
        <f t="shared" si="3"/>
        <v>0.12493873660829993</v>
      </c>
      <c r="L29" s="14">
        <f t="shared" si="4"/>
        <v>0.12493873660829993</v>
      </c>
      <c r="M29" s="14">
        <f t="shared" si="5"/>
        <v>0</v>
      </c>
      <c r="N29" s="14">
        <f>I29/I37</f>
        <v>0</v>
      </c>
      <c r="O29" s="14">
        <f>J29/J37</f>
        <v>0.14221647813153021</v>
      </c>
      <c r="P29" s="14">
        <f>K29/K37</f>
        <v>0.17400768752465717</v>
      </c>
      <c r="Q29" s="14">
        <f>L29/L37</f>
        <v>0.16477382276277411</v>
      </c>
      <c r="R29" s="14">
        <f>M29/M37</f>
        <v>0</v>
      </c>
      <c r="S29" s="14">
        <f t="shared" si="6"/>
        <v>0</v>
      </c>
      <c r="T29" s="14">
        <f t="shared" si="7"/>
        <v>1.5609687905278146E-2</v>
      </c>
      <c r="U29" s="14">
        <f t="shared" si="8"/>
        <v>1.5609687905278146E-2</v>
      </c>
      <c r="V29" s="14">
        <f t="shared" si="9"/>
        <v>1.5609687905278146E-2</v>
      </c>
      <c r="W29" s="14">
        <f t="shared" si="10"/>
        <v>0</v>
      </c>
      <c r="X29" s="14">
        <f t="shared" si="11"/>
        <v>0</v>
      </c>
      <c r="Y29" s="14">
        <f t="shared" si="12"/>
        <v>0</v>
      </c>
      <c r="Z29" s="14">
        <f t="shared" si="13"/>
        <v>0</v>
      </c>
      <c r="AA29" s="14">
        <f t="shared" si="14"/>
        <v>0</v>
      </c>
      <c r="AB29" s="14">
        <f t="shared" si="15"/>
        <v>0</v>
      </c>
      <c r="AC29" s="14">
        <f t="shared" si="16"/>
        <v>0</v>
      </c>
      <c r="AD29" s="14">
        <f>N29*Q29</f>
        <v>0</v>
      </c>
      <c r="AE29" s="12">
        <f t="shared" si="17"/>
        <v>0</v>
      </c>
    </row>
    <row r="30" spans="1:31" x14ac:dyDescent="0.25">
      <c r="A30" s="15" t="s">
        <v>43</v>
      </c>
      <c r="B30" s="14">
        <v>0</v>
      </c>
      <c r="C30" s="14">
        <v>0</v>
      </c>
      <c r="D30" s="14">
        <v>1</v>
      </c>
      <c r="E30" s="14">
        <v>0</v>
      </c>
      <c r="F30" s="14">
        <v>0</v>
      </c>
      <c r="G30" s="14">
        <v>1</v>
      </c>
      <c r="H30" s="10">
        <f t="shared" si="0"/>
        <v>0.6020599913279624</v>
      </c>
      <c r="I30" s="14">
        <f t="shared" si="1"/>
        <v>0</v>
      </c>
      <c r="J30" s="14">
        <f t="shared" si="2"/>
        <v>0</v>
      </c>
      <c r="K30" s="14">
        <f t="shared" si="3"/>
        <v>0.6020599913279624</v>
      </c>
      <c r="L30" s="14">
        <f t="shared" si="4"/>
        <v>0</v>
      </c>
      <c r="M30" s="14">
        <f t="shared" si="5"/>
        <v>0</v>
      </c>
      <c r="N30" s="14">
        <f>I30/I37</f>
        <v>0</v>
      </c>
      <c r="O30" s="14">
        <f>J30/J37</f>
        <v>0</v>
      </c>
      <c r="P30" s="14">
        <f>K30/K37</f>
        <v>0.83851549716354556</v>
      </c>
      <c r="Q30" s="14">
        <f>L30/L37</f>
        <v>0</v>
      </c>
      <c r="R30" s="14">
        <f>M30/M37</f>
        <v>0</v>
      </c>
      <c r="S30" s="14">
        <f t="shared" si="6"/>
        <v>0</v>
      </c>
      <c r="T30" s="14">
        <f t="shared" si="7"/>
        <v>0</v>
      </c>
      <c r="U30" s="14">
        <f t="shared" si="8"/>
        <v>0.36247623315782618</v>
      </c>
      <c r="V30" s="14">
        <f t="shared" si="9"/>
        <v>0</v>
      </c>
      <c r="W30" s="14">
        <f t="shared" si="10"/>
        <v>0</v>
      </c>
      <c r="X30" s="14">
        <f t="shared" si="11"/>
        <v>0</v>
      </c>
      <c r="Y30" s="14">
        <f t="shared" si="12"/>
        <v>0</v>
      </c>
      <c r="Z30" s="14">
        <f t="shared" si="13"/>
        <v>0</v>
      </c>
      <c r="AA30" s="14">
        <f t="shared" si="14"/>
        <v>0</v>
      </c>
      <c r="AB30" s="14">
        <f>N30*O30</f>
        <v>0</v>
      </c>
      <c r="AC30" s="14">
        <f t="shared" si="16"/>
        <v>0</v>
      </c>
      <c r="AD30" s="14">
        <f>N30*Q30</f>
        <v>0</v>
      </c>
      <c r="AE30" s="12">
        <f t="shared" si="17"/>
        <v>0</v>
      </c>
    </row>
    <row r="31" spans="1:31" x14ac:dyDescent="0.25">
      <c r="A31" s="15" t="s">
        <v>44</v>
      </c>
      <c r="B31" s="14">
        <v>0</v>
      </c>
      <c r="C31" s="14">
        <v>0</v>
      </c>
      <c r="D31" s="14">
        <v>0</v>
      </c>
      <c r="E31" s="14">
        <v>1</v>
      </c>
      <c r="F31" s="14">
        <v>1</v>
      </c>
      <c r="G31" s="14">
        <v>2</v>
      </c>
      <c r="H31" s="10">
        <f t="shared" si="0"/>
        <v>0.3010299956639812</v>
      </c>
      <c r="I31" s="14">
        <f t="shared" si="1"/>
        <v>0</v>
      </c>
      <c r="J31" s="14">
        <f t="shared" si="2"/>
        <v>0</v>
      </c>
      <c r="K31" s="14">
        <f t="shared" si="3"/>
        <v>0</v>
      </c>
      <c r="L31" s="14">
        <f t="shared" si="4"/>
        <v>0.3010299956639812</v>
      </c>
      <c r="M31" s="14">
        <f t="shared" si="5"/>
        <v>0.3010299956639812</v>
      </c>
      <c r="N31" s="14">
        <f>I31/I37</f>
        <v>0</v>
      </c>
      <c r="O31" s="14">
        <f>J31/J37</f>
        <v>0</v>
      </c>
      <c r="P31" s="14">
        <f>K31/K37</f>
        <v>0</v>
      </c>
      <c r="Q31" s="14">
        <f>L31/L37</f>
        <v>0.39700948239395228</v>
      </c>
      <c r="R31" s="14">
        <f>M31/M37</f>
        <v>0.26694170606735917</v>
      </c>
      <c r="S31" s="14">
        <f t="shared" si="6"/>
        <v>0</v>
      </c>
      <c r="T31" s="14">
        <f t="shared" si="7"/>
        <v>0</v>
      </c>
      <c r="U31" s="14">
        <f t="shared" si="8"/>
        <v>0</v>
      </c>
      <c r="V31" s="14">
        <f t="shared" si="9"/>
        <v>9.0619058289456544E-2</v>
      </c>
      <c r="W31" s="14">
        <f t="shared" si="10"/>
        <v>9.0619058289456544E-2</v>
      </c>
      <c r="X31" s="14">
        <f t="shared" si="11"/>
        <v>0</v>
      </c>
      <c r="Y31" s="14">
        <f t="shared" si="12"/>
        <v>0</v>
      </c>
      <c r="Z31" s="14">
        <f t="shared" si="13"/>
        <v>0</v>
      </c>
      <c r="AA31" s="14">
        <f t="shared" si="14"/>
        <v>0</v>
      </c>
      <c r="AB31" s="14">
        <f>N31*O31</f>
        <v>0</v>
      </c>
      <c r="AC31" s="14">
        <f>N31*P31</f>
        <v>0</v>
      </c>
      <c r="AD31" s="14">
        <f>N31*Q31</f>
        <v>0</v>
      </c>
      <c r="AE31" s="12">
        <f t="shared" si="17"/>
        <v>0</v>
      </c>
    </row>
    <row r="32" spans="1:31" x14ac:dyDescent="0.25">
      <c r="A32" s="15" t="s">
        <v>45</v>
      </c>
      <c r="B32" s="14">
        <v>0</v>
      </c>
      <c r="C32" s="14">
        <v>1</v>
      </c>
      <c r="D32" s="14">
        <v>0</v>
      </c>
      <c r="E32" s="14">
        <v>0</v>
      </c>
      <c r="F32" s="14">
        <v>0</v>
      </c>
      <c r="G32" s="14">
        <v>1</v>
      </c>
      <c r="H32" s="10">
        <f t="shared" si="0"/>
        <v>0.6020599913279624</v>
      </c>
      <c r="I32" s="14">
        <f t="shared" si="1"/>
        <v>0</v>
      </c>
      <c r="J32" s="14">
        <f t="shared" si="2"/>
        <v>0.6020599913279624</v>
      </c>
      <c r="K32" s="14">
        <f t="shared" si="3"/>
        <v>0</v>
      </c>
      <c r="L32" s="14">
        <f t="shared" si="4"/>
        <v>0</v>
      </c>
      <c r="M32" s="14">
        <f t="shared" si="5"/>
        <v>0</v>
      </c>
      <c r="N32" s="14">
        <f>I32/I37</f>
        <v>0</v>
      </c>
      <c r="O32" s="14">
        <f>J32/J37</f>
        <v>0.68531869230438769</v>
      </c>
      <c r="P32" s="14">
        <f>K32/K37</f>
        <v>0</v>
      </c>
      <c r="Q32" s="14">
        <f>L32/L37</f>
        <v>0</v>
      </c>
      <c r="R32" s="14">
        <f>M32/M37</f>
        <v>0</v>
      </c>
      <c r="S32" s="14">
        <f t="shared" si="6"/>
        <v>0</v>
      </c>
      <c r="T32" s="14">
        <f t="shared" si="7"/>
        <v>0.36247623315782618</v>
      </c>
      <c r="U32" s="14">
        <f t="shared" si="8"/>
        <v>0</v>
      </c>
      <c r="V32" s="14">
        <f t="shared" si="9"/>
        <v>0</v>
      </c>
      <c r="W32" s="14">
        <f t="shared" si="10"/>
        <v>0</v>
      </c>
      <c r="X32" s="14">
        <f t="shared" si="11"/>
        <v>0</v>
      </c>
      <c r="Y32" s="14">
        <f t="shared" si="12"/>
        <v>0</v>
      </c>
      <c r="Z32" s="14">
        <f t="shared" si="13"/>
        <v>0</v>
      </c>
      <c r="AA32" s="14">
        <f t="shared" si="14"/>
        <v>0</v>
      </c>
      <c r="AB32" s="14">
        <f>N32*O32</f>
        <v>0</v>
      </c>
      <c r="AC32" s="14">
        <f>N32*P32</f>
        <v>0</v>
      </c>
      <c r="AD32" s="14">
        <f>N32*Q32</f>
        <v>0</v>
      </c>
      <c r="AE32" s="12">
        <f t="shared" si="17"/>
        <v>0</v>
      </c>
    </row>
    <row r="33" spans="1:31" x14ac:dyDescent="0.25">
      <c r="A33" s="15" t="s">
        <v>46</v>
      </c>
      <c r="B33" s="14">
        <v>0</v>
      </c>
      <c r="C33" s="14">
        <v>0</v>
      </c>
      <c r="D33" s="14">
        <v>1</v>
      </c>
      <c r="E33" s="14">
        <v>1</v>
      </c>
      <c r="F33" s="14">
        <v>0</v>
      </c>
      <c r="G33" s="14">
        <v>2</v>
      </c>
      <c r="H33" s="10">
        <f t="shared" si="0"/>
        <v>0.3010299956639812</v>
      </c>
      <c r="I33" s="14">
        <f t="shared" si="1"/>
        <v>0</v>
      </c>
      <c r="J33" s="14">
        <f t="shared" si="2"/>
        <v>0</v>
      </c>
      <c r="K33" s="14">
        <f t="shared" si="3"/>
        <v>0.3010299956639812</v>
      </c>
      <c r="L33" s="14">
        <f t="shared" si="4"/>
        <v>0.3010299956639812</v>
      </c>
      <c r="M33" s="14">
        <f t="shared" si="5"/>
        <v>0</v>
      </c>
      <c r="N33" s="14">
        <f>I33/I37</f>
        <v>0</v>
      </c>
      <c r="O33" s="14">
        <f>J33/J37</f>
        <v>0</v>
      </c>
      <c r="P33" s="14">
        <f>K33/K37</f>
        <v>0.41925774858177278</v>
      </c>
      <c r="Q33" s="14">
        <f>L33/L37</f>
        <v>0.39700948239395228</v>
      </c>
      <c r="R33" s="14">
        <f>M33/M37</f>
        <v>0</v>
      </c>
      <c r="S33" s="14">
        <f t="shared" si="6"/>
        <v>0</v>
      </c>
      <c r="T33" s="14">
        <f t="shared" si="7"/>
        <v>0</v>
      </c>
      <c r="U33" s="14">
        <f t="shared" si="8"/>
        <v>9.0619058289456544E-2</v>
      </c>
      <c r="V33" s="14">
        <f>L33*L33</f>
        <v>9.0619058289456544E-2</v>
      </c>
      <c r="W33" s="14">
        <f t="shared" si="10"/>
        <v>0</v>
      </c>
      <c r="X33" s="14">
        <f t="shared" si="11"/>
        <v>0</v>
      </c>
      <c r="Y33" s="14">
        <f t="shared" si="12"/>
        <v>0</v>
      </c>
      <c r="Z33" s="14">
        <f t="shared" si="13"/>
        <v>0</v>
      </c>
      <c r="AA33" s="14">
        <f t="shared" si="14"/>
        <v>0</v>
      </c>
      <c r="AB33" s="14">
        <f>N33*O33</f>
        <v>0</v>
      </c>
      <c r="AC33" s="14">
        <f>N33*P33</f>
        <v>0</v>
      </c>
      <c r="AD33" s="14">
        <f>N33*Q33</f>
        <v>0</v>
      </c>
      <c r="AE33" s="12">
        <f t="shared" si="17"/>
        <v>0</v>
      </c>
    </row>
    <row r="34" spans="1:31" x14ac:dyDescent="0.25">
      <c r="A34" s="6" t="s">
        <v>47</v>
      </c>
      <c r="B34" s="14">
        <f t="shared" ref="B34:G34" si="19">SUM(B20:B33)</f>
        <v>3</v>
      </c>
      <c r="C34" s="14">
        <f t="shared" si="19"/>
        <v>6</v>
      </c>
      <c r="D34" s="14">
        <f t="shared" si="19"/>
        <v>7</v>
      </c>
      <c r="E34" s="14">
        <f t="shared" si="19"/>
        <v>6</v>
      </c>
      <c r="F34" s="14">
        <f t="shared" si="19"/>
        <v>9</v>
      </c>
      <c r="G34" s="14">
        <f t="shared" si="19"/>
        <v>27</v>
      </c>
      <c r="H34" s="18">
        <f>SUM(H21:H30)</f>
        <v>3.9871761577926743</v>
      </c>
      <c r="I34" s="14">
        <f>SUM(I21:I30)</f>
        <v>0.24987747321659987</v>
      </c>
      <c r="J34" s="14">
        <f>SUM(J21:J30)</f>
        <v>0.85193746454456221</v>
      </c>
      <c r="K34" s="14">
        <f>SUM(K21:K30)</f>
        <v>0.97687620115286222</v>
      </c>
      <c r="L34" s="14">
        <f>SUM(L21:L30)</f>
        <v>0.85193746454456221</v>
      </c>
      <c r="M34" s="14">
        <f>SUM(M20:M33)</f>
        <v>2.6069649160810684</v>
      </c>
      <c r="N34" s="14">
        <f>SUM(N21:N30)</f>
        <v>1.4142135623730951</v>
      </c>
      <c r="O34" s="14">
        <f t="shared" ref="O34:AC34" si="20">SUM(O20:O33)</f>
        <v>1.6550703408718359</v>
      </c>
      <c r="P34" s="14">
        <f t="shared" si="20"/>
        <v>1.7797963083192898</v>
      </c>
      <c r="Q34" s="14">
        <f t="shared" si="20"/>
        <v>1.9175855751013573</v>
      </c>
      <c r="R34" s="14">
        <f t="shared" si="20"/>
        <v>2.3117552150292138</v>
      </c>
      <c r="S34" s="14">
        <f t="shared" si="20"/>
        <v>3.1219375810556293E-2</v>
      </c>
      <c r="T34" s="14">
        <f t="shared" si="20"/>
        <v>0.77178153003148675</v>
      </c>
      <c r="U34" s="14">
        <f t="shared" si="20"/>
        <v>0.51553404306839523</v>
      </c>
      <c r="V34" s="14">
        <f t="shared" si="20"/>
        <v>0.5749337255472956</v>
      </c>
      <c r="W34" s="14">
        <f t="shared" si="20"/>
        <v>1.2717058851946039</v>
      </c>
      <c r="X34" s="14">
        <f t="shared" si="20"/>
        <v>1.5609687905278146E-2</v>
      </c>
      <c r="Y34" s="14">
        <f t="shared" si="20"/>
        <v>3.1219375810556293E-2</v>
      </c>
      <c r="Z34" s="14">
        <f t="shared" si="20"/>
        <v>3.1219375810556293E-2</v>
      </c>
      <c r="AA34" s="14">
        <f t="shared" si="20"/>
        <v>1.5609687905278146E-2</v>
      </c>
      <c r="AB34" s="14">
        <f t="shared" si="20"/>
        <v>0.10056223608327336</v>
      </c>
      <c r="AC34" s="14">
        <f t="shared" si="20"/>
        <v>0.24608403165454981</v>
      </c>
      <c r="AD34" s="14">
        <f>SUM(AD21:AD33)</f>
        <v>0.11651268743758789</v>
      </c>
      <c r="AE34" s="12">
        <f>SUM(AE20:AE33)</f>
        <v>0.15668187759918584</v>
      </c>
    </row>
    <row r="35" spans="1:31" x14ac:dyDescent="0.25">
      <c r="A35" s="6" t="s">
        <v>48</v>
      </c>
      <c r="H35" s="6" t="s">
        <v>48</v>
      </c>
      <c r="I35" s="6">
        <f>SQRT(S34)</f>
        <v>0.17669005577721766</v>
      </c>
      <c r="J35" s="6">
        <f>SQRT(T34)</f>
        <v>0.8785109731992462</v>
      </c>
      <c r="K35" s="6">
        <f>SQRT(U34)</f>
        <v>0.71800699374615795</v>
      </c>
      <c r="L35" s="6">
        <f>SQRT(V34)</f>
        <v>0.75824384306586734</v>
      </c>
      <c r="M35" s="19">
        <f>SQRT(W34)</f>
        <v>1.1276993771367456</v>
      </c>
    </row>
    <row r="37" spans="1:31" x14ac:dyDescent="0.25">
      <c r="I37">
        <f>SQRT(S34)</f>
        <v>0.17669005577721766</v>
      </c>
      <c r="J37">
        <f>SQRT(T34)</f>
        <v>0.8785109731992462</v>
      </c>
      <c r="K37">
        <f>SQRT(U34)</f>
        <v>0.71800699374615795</v>
      </c>
      <c r="L37">
        <f>SQRT(V34)</f>
        <v>0.75824384306586734</v>
      </c>
      <c r="M37">
        <f>SQRT(W34)</f>
        <v>1.1276993771367456</v>
      </c>
      <c r="AB37" s="20">
        <f>SUM(AB21:AB30)</f>
        <v>0.10056223608327336</v>
      </c>
      <c r="AC37" s="20">
        <f>SUM(AC21:AC30)</f>
        <v>0.24608403165454981</v>
      </c>
      <c r="AD37" s="20">
        <f>SUM(AD21:AD33)</f>
        <v>0.11651268743758789</v>
      </c>
      <c r="AE37">
        <f>SUM(AE20:AE33)</f>
        <v>0.15668187759918584</v>
      </c>
    </row>
    <row r="39" spans="1:31" x14ac:dyDescent="0.25">
      <c r="J39">
        <f>J25+J28+J30</f>
        <v>0</v>
      </c>
      <c r="K39">
        <f>K25+K28+K30</f>
        <v>0.7269987279362623</v>
      </c>
      <c r="L39">
        <f>L25+L28+L30</f>
        <v>0.12493873660829993</v>
      </c>
    </row>
    <row r="40" spans="1:31" x14ac:dyDescent="0.25">
      <c r="J40">
        <f>C25*3+C28*1+C30*2</f>
        <v>0</v>
      </c>
      <c r="K40">
        <f>D25*3+D28*1+D30*2</f>
        <v>3</v>
      </c>
      <c r="L40">
        <f>E25*3+E28*1+E30*2</f>
        <v>1</v>
      </c>
    </row>
    <row r="41" spans="1:31" x14ac:dyDescent="0.25">
      <c r="J41">
        <f>J27+J28+J21</f>
        <v>0.12493873660829993</v>
      </c>
      <c r="K41">
        <f>K27+K28+K21</f>
        <v>0.24987747321659987</v>
      </c>
      <c r="L41">
        <f>L27+L28+L21</f>
        <v>0.12493873660829993</v>
      </c>
      <c r="M41">
        <f>M27+M21+M28</f>
        <v>0.24987747321659987</v>
      </c>
      <c r="N41">
        <f>J41/J37</f>
        <v>0.14221647813153021</v>
      </c>
      <c r="O41">
        <f>K41/K37</f>
        <v>0.34801537504931435</v>
      </c>
      <c r="P41">
        <f>L41/L37</f>
        <v>0.16477382276277411</v>
      </c>
      <c r="Q41">
        <f>M41/M37</f>
        <v>0.22158163627884983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N85"/>
  <sheetViews>
    <sheetView topLeftCell="A65" zoomScaleNormal="100" workbookViewId="0">
      <selection activeCell="P51" sqref="P51"/>
    </sheetView>
  </sheetViews>
  <sheetFormatPr defaultColWidth="8.7109375" defaultRowHeight="15" x14ac:dyDescent="0.25"/>
  <cols>
    <col min="1" max="8" width="10" customWidth="1"/>
    <col min="10" max="11" width="12" customWidth="1"/>
    <col min="12" max="12" width="10" customWidth="1"/>
    <col min="13" max="13" width="10.28515625" customWidth="1"/>
    <col min="14" max="14" width="9" customWidth="1"/>
  </cols>
  <sheetData>
    <row r="6" spans="2:11" x14ac:dyDescent="0.25">
      <c r="B6" t="s">
        <v>49</v>
      </c>
      <c r="C6" t="s">
        <v>50</v>
      </c>
    </row>
    <row r="7" spans="2:11" x14ac:dyDescent="0.25">
      <c r="B7" t="s">
        <v>51</v>
      </c>
      <c r="C7" t="s">
        <v>52</v>
      </c>
    </row>
    <row r="9" spans="2:11" x14ac:dyDescent="0.25">
      <c r="B9" t="s">
        <v>53</v>
      </c>
    </row>
    <row r="10" spans="2:11" x14ac:dyDescent="0.25">
      <c r="B10" t="s">
        <v>54</v>
      </c>
    </row>
    <row r="11" spans="2:11" x14ac:dyDescent="0.25">
      <c r="J11" s="21"/>
      <c r="K11" s="20"/>
    </row>
    <row r="12" spans="2:11" x14ac:dyDescent="0.25">
      <c r="J12" s="21"/>
      <c r="K12" s="20"/>
    </row>
    <row r="13" spans="2:11" x14ac:dyDescent="0.25">
      <c r="J13" s="21"/>
      <c r="K13" s="20"/>
    </row>
    <row r="14" spans="2:11" x14ac:dyDescent="0.25">
      <c r="J14" s="21"/>
      <c r="K14" s="20"/>
    </row>
    <row r="15" spans="2:11" x14ac:dyDescent="0.25">
      <c r="J15" s="21"/>
      <c r="K15" s="20"/>
    </row>
    <row r="16" spans="2:11" ht="18.75" customHeight="1" x14ac:dyDescent="0.3">
      <c r="C16" s="22" t="s">
        <v>55</v>
      </c>
      <c r="G16" s="23" t="s">
        <v>56</v>
      </c>
    </row>
    <row r="17" spans="3:14" x14ac:dyDescent="0.25">
      <c r="C17" s="22" t="s">
        <v>57</v>
      </c>
    </row>
    <row r="19" spans="3:14" ht="15.75" customHeight="1" x14ac:dyDescent="0.25">
      <c r="C19" s="1"/>
      <c r="D19" s="37" t="s">
        <v>59</v>
      </c>
      <c r="E19" s="38" t="s">
        <v>59</v>
      </c>
      <c r="F19" s="39" t="s">
        <v>58</v>
      </c>
      <c r="G19" s="38" t="s">
        <v>59</v>
      </c>
      <c r="H19" s="40" t="s">
        <v>58</v>
      </c>
      <c r="I19" s="39" t="s">
        <v>58</v>
      </c>
      <c r="J19" s="40" t="s">
        <v>58</v>
      </c>
      <c r="K19" s="38" t="s">
        <v>59</v>
      </c>
      <c r="M19" s="24" t="s">
        <v>60</v>
      </c>
      <c r="N19" s="25" t="s">
        <v>61</v>
      </c>
    </row>
    <row r="20" spans="3:14" ht="15.75" customHeight="1" x14ac:dyDescent="0.25">
      <c r="C20" s="1" t="s">
        <v>62</v>
      </c>
      <c r="D20" s="1">
        <f>0/8</f>
        <v>0</v>
      </c>
      <c r="E20" s="1">
        <f>0/8</f>
        <v>0</v>
      </c>
      <c r="F20" s="1">
        <f>1/8</f>
        <v>0.125</v>
      </c>
      <c r="G20" s="1">
        <f>1/8</f>
        <v>0.125</v>
      </c>
      <c r="H20" s="1">
        <f>2/8</f>
        <v>0.25</v>
      </c>
      <c r="I20" s="1">
        <f>3/8</f>
        <v>0.375</v>
      </c>
      <c r="J20" s="1">
        <f>4/8</f>
        <v>0.5</v>
      </c>
      <c r="K20" s="1">
        <f>4/8</f>
        <v>0.5</v>
      </c>
      <c r="M20" s="26">
        <v>0</v>
      </c>
      <c r="N20" s="27">
        <f>J21</f>
        <v>0.5714285714285714</v>
      </c>
    </row>
    <row r="21" spans="3:14" ht="15.75" customHeight="1" x14ac:dyDescent="0.25">
      <c r="C21" s="1" t="s">
        <v>63</v>
      </c>
      <c r="D21" s="1">
        <f>0/1</f>
        <v>0</v>
      </c>
      <c r="E21" s="1">
        <f>0/2</f>
        <v>0</v>
      </c>
      <c r="F21" s="1">
        <f>1/3</f>
        <v>0.33333333333333331</v>
      </c>
      <c r="G21" s="1">
        <f>1/4</f>
        <v>0.25</v>
      </c>
      <c r="H21" s="1">
        <f>2/5</f>
        <v>0.4</v>
      </c>
      <c r="I21" s="1">
        <f>3/6</f>
        <v>0.5</v>
      </c>
      <c r="J21" s="1">
        <f>4/7</f>
        <v>0.5714285714285714</v>
      </c>
      <c r="K21" s="1">
        <f>4/8</f>
        <v>0.5</v>
      </c>
      <c r="M21" s="28">
        <v>0.1</v>
      </c>
      <c r="N21" s="27">
        <f>J21</f>
        <v>0.5714285714285714</v>
      </c>
    </row>
    <row r="22" spans="3:14" ht="15.75" customHeight="1" x14ac:dyDescent="0.25">
      <c r="M22" s="26">
        <v>0.2</v>
      </c>
      <c r="N22" s="27">
        <f>J21</f>
        <v>0.5714285714285714</v>
      </c>
    </row>
    <row r="23" spans="3:14" ht="15.75" customHeight="1" x14ac:dyDescent="0.25">
      <c r="E23" s="29"/>
      <c r="F23" s="29"/>
      <c r="G23" s="29"/>
      <c r="H23" s="29"/>
      <c r="I23" s="29"/>
      <c r="J23" s="29"/>
      <c r="K23" s="29"/>
      <c r="L23" s="29"/>
      <c r="M23" s="28">
        <v>0.3</v>
      </c>
      <c r="N23" s="27">
        <f>J21</f>
        <v>0.5714285714285714</v>
      </c>
    </row>
    <row r="24" spans="3:14" ht="15.75" customHeight="1" x14ac:dyDescent="0.25">
      <c r="E24" s="29"/>
      <c r="F24" s="29"/>
      <c r="G24" s="29"/>
      <c r="H24" s="29"/>
      <c r="I24" s="29"/>
      <c r="J24" s="29"/>
      <c r="K24" s="29"/>
      <c r="L24" s="29"/>
      <c r="M24" s="26">
        <v>0.4</v>
      </c>
      <c r="N24" s="27">
        <f>J21</f>
        <v>0.5714285714285714</v>
      </c>
    </row>
    <row r="25" spans="3:14" ht="15.75" customHeight="1" x14ac:dyDescent="0.25">
      <c r="M25" s="28">
        <v>0.5</v>
      </c>
      <c r="N25" s="27">
        <f>J21</f>
        <v>0.5714285714285714</v>
      </c>
    </row>
    <row r="26" spans="3:14" ht="15.75" customHeight="1" x14ac:dyDescent="0.25">
      <c r="M26" s="26">
        <v>0.6</v>
      </c>
      <c r="N26" s="26">
        <v>0</v>
      </c>
    </row>
    <row r="27" spans="3:14" ht="15.75" customHeight="1" x14ac:dyDescent="0.25">
      <c r="M27" s="28">
        <v>0.7</v>
      </c>
      <c r="N27" s="26">
        <v>0</v>
      </c>
    </row>
    <row r="28" spans="3:14" ht="15.75" customHeight="1" x14ac:dyDescent="0.25">
      <c r="M28" s="26">
        <v>0.8</v>
      </c>
      <c r="N28" s="26">
        <v>0</v>
      </c>
    </row>
    <row r="29" spans="3:14" ht="15.75" customHeight="1" x14ac:dyDescent="0.25">
      <c r="M29" s="28">
        <v>0.9</v>
      </c>
      <c r="N29" s="26">
        <v>0</v>
      </c>
    </row>
    <row r="30" spans="3:14" ht="15.75" customHeight="1" x14ac:dyDescent="0.25">
      <c r="M30" s="26">
        <v>1</v>
      </c>
      <c r="N30" s="26">
        <v>0</v>
      </c>
    </row>
    <row r="31" spans="3:14" x14ac:dyDescent="0.25">
      <c r="M31" s="21"/>
      <c r="N31" s="20"/>
    </row>
    <row r="32" spans="3:14" x14ac:dyDescent="0.25">
      <c r="M32" s="21"/>
      <c r="N32" s="20"/>
    </row>
    <row r="33" spans="3:14" x14ac:dyDescent="0.25">
      <c r="M33" s="21"/>
      <c r="N33" s="20"/>
    </row>
    <row r="45" spans="3:14" ht="18.75" customHeight="1" x14ac:dyDescent="0.3">
      <c r="C45" s="22" t="s">
        <v>55</v>
      </c>
      <c r="G45" s="30" t="s">
        <v>64</v>
      </c>
    </row>
    <row r="46" spans="3:14" x14ac:dyDescent="0.25">
      <c r="C46" s="22" t="s">
        <v>57</v>
      </c>
    </row>
    <row r="48" spans="3:14" ht="15.75" customHeight="1" x14ac:dyDescent="0.25">
      <c r="C48" s="1"/>
      <c r="D48" s="31" t="s">
        <v>59</v>
      </c>
      <c r="E48" s="39" t="s">
        <v>58</v>
      </c>
      <c r="F48" s="31" t="s">
        <v>59</v>
      </c>
      <c r="G48" s="31" t="s">
        <v>59</v>
      </c>
      <c r="H48" s="31" t="s">
        <v>59</v>
      </c>
      <c r="I48" s="39" t="s">
        <v>58</v>
      </c>
      <c r="J48" s="39" t="s">
        <v>58</v>
      </c>
      <c r="K48" s="39" t="s">
        <v>58</v>
      </c>
      <c r="M48" s="24" t="s">
        <v>60</v>
      </c>
      <c r="N48" s="25" t="s">
        <v>61</v>
      </c>
    </row>
    <row r="49" spans="3:14" ht="15.75" customHeight="1" x14ac:dyDescent="0.25">
      <c r="C49" s="1" t="s">
        <v>62</v>
      </c>
      <c r="D49" s="1">
        <f>0/8</f>
        <v>0</v>
      </c>
      <c r="E49" s="1">
        <f>1/8</f>
        <v>0.125</v>
      </c>
      <c r="F49" s="1">
        <f>1/8</f>
        <v>0.125</v>
      </c>
      <c r="G49" s="1">
        <f>1/8</f>
        <v>0.125</v>
      </c>
      <c r="H49" s="1">
        <f>1/8</f>
        <v>0.125</v>
      </c>
      <c r="I49" s="1">
        <f>2/8</f>
        <v>0.25</v>
      </c>
      <c r="J49" s="1">
        <f>3/8</f>
        <v>0.375</v>
      </c>
      <c r="K49" s="1">
        <f>4/8</f>
        <v>0.5</v>
      </c>
      <c r="M49" s="26">
        <v>0</v>
      </c>
      <c r="N49" s="27">
        <f>K50</f>
        <v>0.5</v>
      </c>
    </row>
    <row r="50" spans="3:14" ht="15.75" customHeight="1" x14ac:dyDescent="0.25">
      <c r="C50" s="1" t="s">
        <v>63</v>
      </c>
      <c r="D50" s="1">
        <f>0/1</f>
        <v>0</v>
      </c>
      <c r="E50" s="1">
        <f>1/2</f>
        <v>0.5</v>
      </c>
      <c r="F50" s="1">
        <f>1/3</f>
        <v>0.33333333333333331</v>
      </c>
      <c r="G50" s="1">
        <f>1/4</f>
        <v>0.25</v>
      </c>
      <c r="H50" s="1">
        <f>1/5</f>
        <v>0.2</v>
      </c>
      <c r="I50" s="1">
        <f>2/6</f>
        <v>0.33333333333333331</v>
      </c>
      <c r="J50" s="1">
        <f>3/7</f>
        <v>0.42857142857142855</v>
      </c>
      <c r="K50" s="1">
        <f>4/8</f>
        <v>0.5</v>
      </c>
      <c r="M50" s="28">
        <v>0.1</v>
      </c>
      <c r="N50" s="27">
        <f>K50</f>
        <v>0.5</v>
      </c>
    </row>
    <row r="51" spans="3:14" ht="15.75" customHeight="1" x14ac:dyDescent="0.25">
      <c r="M51" s="26">
        <v>0.2</v>
      </c>
      <c r="N51" s="27">
        <f>K50</f>
        <v>0.5</v>
      </c>
    </row>
    <row r="52" spans="3:14" ht="15.75" customHeight="1" x14ac:dyDescent="0.25">
      <c r="M52" s="28">
        <v>0.3</v>
      </c>
      <c r="N52" s="27">
        <f>K50</f>
        <v>0.5</v>
      </c>
    </row>
    <row r="53" spans="3:14" ht="15.75" customHeight="1" x14ac:dyDescent="0.25">
      <c r="M53" s="26">
        <v>0.4</v>
      </c>
      <c r="N53" s="27">
        <f>K50</f>
        <v>0.5</v>
      </c>
    </row>
    <row r="54" spans="3:14" ht="15.75" customHeight="1" x14ac:dyDescent="0.25">
      <c r="M54" s="28">
        <v>0.5</v>
      </c>
      <c r="N54" s="27">
        <f>K50</f>
        <v>0.5</v>
      </c>
    </row>
    <row r="55" spans="3:14" ht="15.75" customHeight="1" x14ac:dyDescent="0.25">
      <c r="M55" s="26">
        <v>0.6</v>
      </c>
      <c r="N55" s="26">
        <v>0</v>
      </c>
    </row>
    <row r="56" spans="3:14" ht="15.75" customHeight="1" x14ac:dyDescent="0.25">
      <c r="M56" s="28">
        <v>0.7</v>
      </c>
      <c r="N56" s="26">
        <v>0</v>
      </c>
    </row>
    <row r="57" spans="3:14" ht="15.75" customHeight="1" x14ac:dyDescent="0.25">
      <c r="M57" s="26">
        <v>0.8</v>
      </c>
      <c r="N57" s="26">
        <v>0</v>
      </c>
    </row>
    <row r="58" spans="3:14" ht="15.75" customHeight="1" x14ac:dyDescent="0.25">
      <c r="M58" s="28">
        <v>0.9</v>
      </c>
      <c r="N58" s="26">
        <v>0</v>
      </c>
    </row>
    <row r="59" spans="3:14" ht="15.75" customHeight="1" x14ac:dyDescent="0.25">
      <c r="M59" s="26">
        <v>1</v>
      </c>
      <c r="N59" s="26">
        <v>0</v>
      </c>
    </row>
    <row r="71" spans="3:9" ht="18.75" customHeight="1" x14ac:dyDescent="0.3">
      <c r="E71" s="32" t="s">
        <v>65</v>
      </c>
      <c r="F71" s="33"/>
      <c r="G71" s="33"/>
      <c r="H71" s="33"/>
      <c r="I71" s="34"/>
    </row>
    <row r="74" spans="3:9" x14ac:dyDescent="0.25">
      <c r="C74" s="35" t="str">
        <f t="array" ref="C74:C85">M48:M59</f>
        <v>Recall</v>
      </c>
      <c r="D74" s="35" t="s">
        <v>66</v>
      </c>
      <c r="E74" s="35" t="s">
        <v>67</v>
      </c>
    </row>
    <row r="75" spans="3:9" x14ac:dyDescent="0.25">
      <c r="C75" s="36">
        <v>0</v>
      </c>
      <c r="D75" s="36">
        <f t="array" ref="D75:D85">N20:N30</f>
        <v>0.5714285714285714</v>
      </c>
      <c r="E75" s="36">
        <f t="array" ref="E75:E85">N49:N59</f>
        <v>0.5</v>
      </c>
    </row>
    <row r="76" spans="3:9" x14ac:dyDescent="0.25">
      <c r="C76" s="36">
        <v>0.1</v>
      </c>
      <c r="D76" s="36">
        <v>0.5714285714285714</v>
      </c>
      <c r="E76" s="36">
        <v>0.5</v>
      </c>
    </row>
    <row r="77" spans="3:9" x14ac:dyDescent="0.25">
      <c r="C77" s="36">
        <v>0.2</v>
      </c>
      <c r="D77" s="36">
        <v>0.5714285714285714</v>
      </c>
      <c r="E77" s="36">
        <v>0.5</v>
      </c>
    </row>
    <row r="78" spans="3:9" x14ac:dyDescent="0.25">
      <c r="C78" s="36">
        <v>0.3</v>
      </c>
      <c r="D78" s="36">
        <v>0.5714285714285714</v>
      </c>
      <c r="E78" s="36">
        <v>0.5</v>
      </c>
    </row>
    <row r="79" spans="3:9" x14ac:dyDescent="0.25">
      <c r="C79" s="36">
        <v>0.4</v>
      </c>
      <c r="D79" s="36">
        <v>0.5714285714285714</v>
      </c>
      <c r="E79" s="36">
        <v>0.5</v>
      </c>
    </row>
    <row r="80" spans="3:9" x14ac:dyDescent="0.25">
      <c r="C80" s="36">
        <v>0.5</v>
      </c>
      <c r="D80" s="36">
        <v>0.5714285714285714</v>
      </c>
      <c r="E80" s="36">
        <v>0.5</v>
      </c>
    </row>
    <row r="81" spans="3:5" x14ac:dyDescent="0.25">
      <c r="C81" s="36">
        <v>0.6</v>
      </c>
      <c r="D81" s="36">
        <v>0</v>
      </c>
      <c r="E81" s="36">
        <v>0</v>
      </c>
    </row>
    <row r="82" spans="3:5" x14ac:dyDescent="0.25">
      <c r="C82" s="36">
        <v>0.7</v>
      </c>
      <c r="D82" s="36">
        <v>0</v>
      </c>
      <c r="E82" s="36">
        <v>0</v>
      </c>
    </row>
    <row r="83" spans="3:5" x14ac:dyDescent="0.25">
      <c r="C83" s="36">
        <v>0.8</v>
      </c>
      <c r="D83" s="36">
        <v>0</v>
      </c>
      <c r="E83" s="36">
        <v>0</v>
      </c>
    </row>
    <row r="84" spans="3:5" x14ac:dyDescent="0.25">
      <c r="C84" s="36">
        <v>0.9</v>
      </c>
      <c r="D84" s="36">
        <v>0</v>
      </c>
      <c r="E84" s="36">
        <v>0</v>
      </c>
    </row>
    <row r="85" spans="3:5" x14ac:dyDescent="0.25">
      <c r="C85" s="36">
        <v>1</v>
      </c>
      <c r="D85" s="36">
        <v>0</v>
      </c>
      <c r="E85" s="36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soal1</vt:lpstr>
      <vt:lpstr>Soal 2</vt:lpstr>
      <vt:lpstr>Soal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LEONARDUS DALE MASAN</cp:lastModifiedBy>
  <cp:revision>1</cp:revision>
  <dcterms:created xsi:type="dcterms:W3CDTF">2026-04-12T05:43:26Z</dcterms:created>
  <dcterms:modified xsi:type="dcterms:W3CDTF">2026-04-15T23:40:56Z</dcterms:modified>
  <dc:language>en-US</dc:language>
</cp:coreProperties>
</file>